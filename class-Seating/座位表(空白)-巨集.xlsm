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 Yeh\Desktop\座位表web\excel\巨集\"/>
    </mc:Choice>
  </mc:AlternateContent>
  <xr:revisionPtr revIDLastSave="0" documentId="13_ncr:1_{43882E3C-EB14-42A9-B93D-31AD30B7F010}" xr6:coauthVersionLast="47" xr6:coauthVersionMax="47" xr10:uidLastSave="{00000000-0000-0000-0000-000000000000}"/>
  <bookViews>
    <workbookView xWindow="540" yWindow="150" windowWidth="15660" windowHeight="15330" xr2:uid="{00000000-000D-0000-FFFF-FFFF00000000}"/>
  </bookViews>
  <sheets>
    <sheet name="工作表1" sheetId="1" r:id="rId1"/>
  </sheets>
  <functionGroups builtInGroupCount="19"/>
  <definedNames>
    <definedName name="_xlnm.Print_Area" localSheetId="0">工作表1!$A$1:$R$62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1" i="1" l="1"/>
  <c r="J61" i="1"/>
  <c r="F61" i="1"/>
  <c r="O59" i="1"/>
  <c r="J59" i="1"/>
  <c r="F59" i="1"/>
  <c r="O57" i="1"/>
  <c r="J57" i="1"/>
  <c r="F57" i="1"/>
  <c r="O55" i="1"/>
  <c r="J55" i="1"/>
  <c r="F55" i="1"/>
  <c r="O53" i="1"/>
  <c r="J53" i="1"/>
  <c r="F53" i="1"/>
  <c r="O51" i="1"/>
  <c r="J51" i="1"/>
  <c r="F51" i="1"/>
  <c r="R35" i="1"/>
  <c r="R33" i="1"/>
  <c r="R31" i="1"/>
  <c r="R29" i="1"/>
  <c r="R27" i="1"/>
  <c r="R25" i="1"/>
  <c r="R23" i="1"/>
  <c r="R21" i="1"/>
  <c r="R19" i="1"/>
  <c r="R17" i="1"/>
  <c r="R15" i="1"/>
  <c r="R13" i="1"/>
  <c r="R11" i="1"/>
  <c r="R9" i="1"/>
  <c r="R7" i="1"/>
  <c r="K38" i="1" l="1"/>
  <c r="J38" i="1"/>
  <c r="I38" i="1"/>
  <c r="H38" i="1"/>
  <c r="G38" i="1"/>
  <c r="F38" i="1"/>
  <c r="E38" i="1"/>
  <c r="K32" i="1"/>
  <c r="J32" i="1"/>
  <c r="I32" i="1"/>
  <c r="H32" i="1"/>
  <c r="G32" i="1"/>
  <c r="F32" i="1"/>
  <c r="E32" i="1"/>
  <c r="K26" i="1"/>
  <c r="J26" i="1"/>
  <c r="I26" i="1"/>
  <c r="H26" i="1"/>
  <c r="G26" i="1"/>
  <c r="F26" i="1"/>
  <c r="E26" i="1"/>
  <c r="K20" i="1"/>
  <c r="J20" i="1"/>
  <c r="I20" i="1"/>
  <c r="H20" i="1"/>
  <c r="G20" i="1"/>
  <c r="F20" i="1"/>
  <c r="E20" i="1"/>
  <c r="K14" i="1"/>
  <c r="J14" i="1"/>
  <c r="I14" i="1"/>
  <c r="H14" i="1"/>
  <c r="G14" i="1"/>
  <c r="F14" i="1"/>
  <c r="E14" i="1"/>
  <c r="E8" i="1"/>
  <c r="F8" i="1"/>
  <c r="G8" i="1"/>
  <c r="H8" i="1"/>
  <c r="I8" i="1"/>
  <c r="H4" i="1"/>
  <c r="O3" i="1"/>
  <c r="D8" i="1"/>
  <c r="D20" i="1"/>
  <c r="D38" i="1"/>
  <c r="D14" i="1"/>
  <c r="D26" i="1"/>
  <c r="D32" i="1"/>
  <c r="K8" i="1"/>
  <c r="J8" i="1"/>
  <c r="C2" i="1" l="1"/>
  <c r="C3" i="1"/>
  <c r="C4" i="1"/>
  <c r="C48" i="1"/>
  <c r="C46" i="1"/>
  <c r="C27" i="1"/>
  <c r="C26" i="1"/>
  <c r="C25" i="1"/>
  <c r="C42" i="1"/>
  <c r="C24" i="1"/>
  <c r="C23" i="1"/>
  <c r="C21" i="1"/>
  <c r="C43" i="1"/>
  <c r="C41" i="1"/>
  <c r="C40" i="1"/>
  <c r="C15" i="1"/>
  <c r="C13" i="1"/>
  <c r="C35" i="1"/>
  <c r="C10" i="1"/>
  <c r="C8" i="1"/>
  <c r="C31" i="1"/>
  <c r="C7" i="1"/>
  <c r="C47" i="1"/>
  <c r="C45" i="1"/>
  <c r="C20" i="1"/>
  <c r="C18" i="1"/>
  <c r="C16" i="1"/>
  <c r="C38" i="1"/>
  <c r="C36" i="1"/>
  <c r="C11" i="1"/>
  <c r="C33" i="1"/>
  <c r="C32" i="1"/>
  <c r="C30" i="1"/>
  <c r="C6" i="1"/>
  <c r="C22" i="1"/>
  <c r="C44" i="1"/>
  <c r="C19" i="1"/>
  <c r="C17" i="1"/>
  <c r="C39" i="1"/>
  <c r="C14" i="1"/>
  <c r="C37" i="1"/>
  <c r="C12" i="1"/>
  <c r="C34" i="1"/>
  <c r="C9" i="1"/>
  <c r="C29" i="1"/>
  <c r="C5" i="1"/>
  <c r="C2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Tyler Yeh</author>
  </authors>
  <commentList>
    <comment ref="A1" authorId="0" shapeId="0" xr:uid="{FF00D357-9D84-477F-B7E7-BC4255FD4C95}">
      <text>
        <r>
          <rPr>
            <b/>
            <sz val="13"/>
            <color indexed="81"/>
            <rFont val="細明體"/>
            <family val="3"/>
            <charset val="136"/>
          </rPr>
          <t>註解關閉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可以在 檔案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選項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進階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細明體"/>
            <family val="3"/>
            <charset val="136"/>
          </rPr>
          <t>顯示底下的
對於具有註解的儲存格，顯示
選擇 不顯示註解或指標</t>
        </r>
      </text>
    </comment>
    <comment ref="B2" authorId="0" shapeId="0" xr:uid="{F88650EF-DED3-4922-ABEB-E8DA71F3AA91}">
      <text>
        <r>
          <rPr>
            <b/>
            <sz val="9"/>
            <color indexed="81"/>
            <rFont val="細明體"/>
            <family val="3"/>
            <charset val="136"/>
          </rPr>
          <t>在填座位前要先填上名字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3" authorId="0" shapeId="0" xr:uid="{223BB28E-981D-4F67-89BF-7727F0ADCFB0}">
      <text>
        <r>
          <rPr>
            <b/>
            <sz val="9"/>
            <color indexed="81"/>
            <rFont val="細明體"/>
            <family val="3"/>
            <charset val="136"/>
          </rPr>
          <t>日期自動更新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CD989023-1F84-4371-BA6E-0A6A9D1A959C}">
      <text>
        <r>
          <rPr>
            <b/>
            <sz val="9"/>
            <color indexed="81"/>
            <rFont val="細明體"/>
            <family val="3"/>
            <charset val="136"/>
          </rPr>
          <t>在名條輸入名字後會自動變化</t>
        </r>
      </text>
    </comment>
    <comment ref="Q5" authorId="0" shapeId="0" xr:uid="{A6B8783C-C2BE-4C8D-AC42-C6C3B5F9F473}">
      <text>
        <r>
          <rPr>
            <b/>
            <sz val="9"/>
            <color indexed="81"/>
            <rFont val="細明體"/>
            <family val="3"/>
            <charset val="136"/>
          </rPr>
          <t>導師名字填在這</t>
        </r>
      </text>
    </comment>
    <comment ref="F7" authorId="0" shapeId="0" xr:uid="{97B14639-B388-4EB5-B7B9-C517881AEF5A}">
      <text>
        <r>
          <rPr>
            <b/>
            <sz val="9"/>
            <color indexed="81"/>
            <rFont val="細明體"/>
            <family val="3"/>
            <charset val="136"/>
          </rPr>
          <t>直接上座號即可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29" authorId="0" shapeId="0" xr:uid="{1614839A-76FB-4D74-B799-667C7BC4059E}">
      <text>
        <r>
          <rPr>
            <b/>
            <sz val="9"/>
            <color indexed="81"/>
            <rFont val="細明體"/>
            <family val="3"/>
            <charset val="136"/>
          </rPr>
          <t>可以直接複製公式增加欄位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<sst xmlns="http://schemas.openxmlformats.org/spreadsheetml/2006/main" count="70" uniqueCount="41">
  <si>
    <t>班級名條</t>
  </si>
  <si>
    <t>座號</t>
  </si>
  <si>
    <t>姓名</t>
  </si>
  <si>
    <t>：</t>
  </si>
  <si>
    <t>風紀股長</t>
  </si>
  <si>
    <t>學藝股長</t>
  </si>
  <si>
    <t>前門</t>
  </si>
  <si>
    <t>：</t>
    <phoneticPr fontId="1" type="noConversion"/>
  </si>
  <si>
    <t>新竹縣私立義民高級中學班級座位表</t>
    <phoneticPr fontId="1" type="noConversion"/>
  </si>
  <si>
    <t>一</t>
    <phoneticPr fontId="1" type="noConversion"/>
  </si>
  <si>
    <t>更新日期:</t>
    <phoneticPr fontId="1" type="noConversion"/>
  </si>
  <si>
    <t>科目</t>
    <phoneticPr fontId="1" type="noConversion"/>
  </si>
  <si>
    <t>座號</t>
    <phoneticPr fontId="1" type="noConversion"/>
  </si>
  <si>
    <t>姓名</t>
    <phoneticPr fontId="1" type="noConversion"/>
  </si>
  <si>
    <t>小老師</t>
    <phoneticPr fontId="1" type="noConversion"/>
  </si>
  <si>
    <t>導師</t>
    <phoneticPr fontId="1" type="noConversion"/>
  </si>
  <si>
    <t>:</t>
    <phoneticPr fontId="1" type="noConversion"/>
  </si>
  <si>
    <t>班級：</t>
    <phoneticPr fontId="1" type="noConversion"/>
  </si>
  <si>
    <t>國文</t>
    <phoneticPr fontId="1" type="noConversion"/>
  </si>
  <si>
    <t>英文</t>
    <phoneticPr fontId="1" type="noConversion"/>
  </si>
  <si>
    <t>數學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</si>
  <si>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</si>
  <si>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</si>
  <si>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</si>
  <si>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</si>
  <si>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</si>
  <si>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</si>
  <si>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</si>
  <si>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班        長</t>
  </si>
  <si>
    <t>副 班 長</t>
    <phoneticPr fontId="1" type="noConversion"/>
  </si>
  <si>
    <t>衛生股長</t>
  </si>
  <si>
    <t>環保股長</t>
    <phoneticPr fontId="1" type="noConversion"/>
  </si>
  <si>
    <t>體育股長</t>
    <phoneticPr fontId="1" type="noConversion"/>
  </si>
  <si>
    <t>圖書股長</t>
  </si>
  <si>
    <t>總務股長</t>
    <phoneticPr fontId="1" type="noConversion"/>
  </si>
  <si>
    <t>目前號碼:</t>
    <phoneticPr fontId="1" type="noConversion"/>
  </si>
  <si>
    <t>資訊股長</t>
    <phoneticPr fontId="1" type="noConversion"/>
  </si>
  <si>
    <t>刪除確認:</t>
    <phoneticPr fontId="1" type="noConversion"/>
  </si>
  <si>
    <t>備份位置:</t>
    <phoneticPr fontId="1" type="noConversion"/>
  </si>
  <si>
    <t>重設確認:</t>
    <phoneticPr fontId="1" type="noConversion"/>
  </si>
  <si>
    <t>以下是生成座位時的備份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</si>
</sst>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&quot;全&quot;&quot;班&quot;&quot;人&quot;&quot;數&quot;&quot;:&quot;\ 0\ &quot;人&quot;"/>
  </numFmts>
  <fonts count="36" x14ac:knownFonts="1">
    <font>
      <sz val="10"/>
      <color rgb="FF000000"/>
      <name val="Arial"/>
      <scheme val="minor"/>
    </font>
    <font>
      <sz val="9"/>
      <name val="Arial"/>
      <family val="3"/>
      <charset val="136"/>
      <scheme val="minor"/>
    </font>
    <font>
      <sz val="16"/>
      <color rgb="FF000000"/>
      <name val="新細明體"/>
      <family val="1"/>
      <charset val="136"/>
    </font>
    <font>
      <sz val="15"/>
      <color theme="1"/>
      <name val="新細明體"/>
      <family val="1"/>
      <charset val="136"/>
    </font>
    <font>
      <sz val="10"/>
      <color rgb="FF000000"/>
      <name val="新細明體"/>
      <family val="1"/>
      <charset val="136"/>
    </font>
    <font>
      <sz val="12"/>
      <color theme="1"/>
      <name val="新細明體"/>
      <family val="1"/>
      <charset val="136"/>
    </font>
    <font>
      <sz val="12"/>
      <color rgb="FF212529"/>
      <name val="新細明體"/>
      <family val="1"/>
      <charset val="136"/>
    </font>
    <font>
      <b/>
      <sz val="20"/>
      <color theme="1"/>
      <name val="新細明體"/>
      <family val="1"/>
      <charset val="136"/>
    </font>
    <font>
      <sz val="20"/>
      <name val="新細明體"/>
      <family val="1"/>
      <charset val="136"/>
    </font>
    <font>
      <sz val="16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b/>
      <sz val="13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8"/>
      <color theme="1"/>
      <name val="新細明體"/>
      <family val="1"/>
      <charset val="136"/>
    </font>
    <font>
      <sz val="1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21"/>
      <color theme="1"/>
      <name val="新細明體"/>
      <family val="1"/>
      <charset val="136"/>
    </font>
    <font>
      <sz val="21"/>
      <color rgb="FF00000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標楷體"/>
      <family val="4"/>
      <charset val="136"/>
    </font>
    <font>
      <b/>
      <sz val="15"/>
      <color theme="1"/>
      <name val="標楷體"/>
      <family val="4"/>
      <charset val="136"/>
    </font>
    <font>
      <sz val="18"/>
      <color theme="1"/>
      <name val="標楷體"/>
      <family val="4"/>
      <charset val="136"/>
    </font>
    <font>
      <b/>
      <sz val="18"/>
      <color theme="1"/>
      <name val="標楷體"/>
      <family val="4"/>
      <charset val="136"/>
    </font>
    <font>
      <sz val="10"/>
      <name val="標楷體"/>
      <family val="4"/>
      <charset val="136"/>
    </font>
    <font>
      <sz val="20"/>
      <color rgb="FF000000"/>
      <name val="新細明體"/>
      <family val="1"/>
      <charset val="136"/>
    </font>
    <font>
      <sz val="18"/>
      <color rgb="FF000000"/>
      <name val="新細明體"/>
      <family val="1"/>
      <charset val="136"/>
    </font>
    <font>
      <sz val="14"/>
      <color rgb="FF000000"/>
      <name val="新細明體"/>
      <family val="1"/>
      <charset val="136"/>
    </font>
    <font>
      <sz val="24"/>
      <color rgb="FF000000"/>
      <name val="新細明體"/>
      <family val="1"/>
      <charset val="136"/>
    </font>
    <font>
      <sz val="26"/>
      <color rgb="FF000000"/>
      <name val="新細明體"/>
      <family val="1"/>
      <charset val="136"/>
    </font>
    <font>
      <sz val="12"/>
      <color rgb="FF000000"/>
      <name val="細明體"/>
      <family val="3"/>
      <charset val="136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sz val="24"/>
      <color rgb="FF000000"/>
      <name val="細明體"/>
      <family val="3"/>
      <charset val="136"/>
    </font>
    <font>
      <sz val="15"/>
      <color rgb="FF000000"/>
      <name val="新細明體"/>
      <family val="1"/>
      <charset val="136"/>
    </font>
    <font>
      <sz val="14"/>
      <color theme="1"/>
      <name val="標楷體"/>
      <family val="4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0.249977111117893"/>
        <bgColor rgb="FFCCCC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rgb="FFFFFF00"/>
      </patternFill>
    </fill>
    <fill>
      <patternFill patternType="solid">
        <fgColor rgb="FFFFC000"/>
        <bgColor indexed="64"/>
      </patternFill>
    </fill>
  </fills>
  <borders count="79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ck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rgb="FF000000"/>
      </left>
      <right/>
      <top/>
      <bottom style="thick">
        <color rgb="FF000000"/>
      </bottom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ck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 applyFont="1" applyAlignment="1"/>
    <xf numFmtId="0" fontId="6" fillId="2" borderId="11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4" fillId="0" borderId="0" xfId="0" applyFont="1" applyAlignment="1"/>
    <xf numFmtId="0" fontId="16" fillId="0" borderId="0" xfId="0" applyFont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0" xfId="0" applyFont="1" applyBorder="1" applyAlignment="1"/>
    <xf numFmtId="0" fontId="4" fillId="0" borderId="0" xfId="0" applyFont="1" applyAlignment="1"/>
    <xf numFmtId="0" fontId="18" fillId="0" borderId="0" xfId="0" applyFont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 vertical="center"/>
    </xf>
    <xf numFmtId="0" fontId="24" fillId="0" borderId="0" xfId="0" applyFont="1" applyBorder="1"/>
    <xf numFmtId="0" fontId="4" fillId="0" borderId="0" xfId="0" applyFont="1" applyAlignment="1" applyProtection="1"/>
    <xf numFmtId="0" fontId="5" fillId="3" borderId="73" xfId="0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/>
    </xf>
    <xf numFmtId="176" fontId="5" fillId="2" borderId="3" xfId="0" applyNumberFormat="1" applyFont="1" applyFill="1" applyBorder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176" fontId="5" fillId="2" borderId="41" xfId="0" applyNumberFormat="1" applyFont="1" applyFill="1" applyBorder="1" applyAlignment="1">
      <alignment horizontal="center" vertical="center"/>
    </xf>
    <xf numFmtId="176" fontId="5" fillId="2" borderId="0" xfId="0" applyNumberFormat="1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176" fontId="5" fillId="2" borderId="74" xfId="0" applyNumberFormat="1" applyFont="1" applyFill="1" applyBorder="1" applyAlignment="1">
      <alignment horizontal="center" vertical="center"/>
    </xf>
    <xf numFmtId="0" fontId="5" fillId="3" borderId="75" xfId="0" applyFont="1" applyFill="1" applyBorder="1" applyAlignment="1">
      <alignment horizontal="center" vertical="center"/>
    </xf>
    <xf numFmtId="0" fontId="4" fillId="0" borderId="0" xfId="0" applyNumberFormat="1" applyFont="1" applyAlignment="1"/>
    <xf numFmtId="0" fontId="4" fillId="0" borderId="0" xfId="0" applyFont="1"/>
    <xf numFmtId="176" fontId="35" fillId="0" borderId="7" xfId="0" quotePrefix="1" applyNumberFormat="1" applyFont="1" applyBorder="1" applyAlignment="1">
      <alignment horizontal="center" vertical="center"/>
    </xf>
    <xf numFmtId="176" fontId="35" fillId="7" borderId="7" xfId="0" quotePrefix="1" applyNumberFormat="1" applyFont="1" applyFill="1" applyBorder="1" applyAlignment="1">
      <alignment horizontal="center" vertical="center"/>
    </xf>
    <xf numFmtId="176" fontId="35" fillId="7" borderId="7" xfId="0" applyNumberFormat="1" applyFont="1" applyFill="1" applyBorder="1" applyAlignment="1">
      <alignment horizontal="center" vertical="center"/>
    </xf>
    <xf numFmtId="176" fontId="35" fillId="0" borderId="7" xfId="0" applyNumberFormat="1" applyFont="1" applyBorder="1" applyAlignment="1">
      <alignment horizontal="center" vertical="center"/>
    </xf>
    <xf numFmtId="0" fontId="4" fillId="0" borderId="48" xfId="0" applyFont="1" applyBorder="1" applyAlignment="1"/>
    <xf numFmtId="0" fontId="4" fillId="0" borderId="76" xfId="0" applyFont="1" applyBorder="1" applyAlignment="1"/>
    <xf numFmtId="0" fontId="4" fillId="0" borderId="49" xfId="0" applyFont="1" applyBorder="1" applyAlignment="1"/>
    <xf numFmtId="0" fontId="4" fillId="0" borderId="50" xfId="0" applyFont="1" applyBorder="1" applyAlignment="1"/>
    <xf numFmtId="0" fontId="4" fillId="0" borderId="51" xfId="0" applyFont="1" applyBorder="1" applyAlignment="1"/>
    <xf numFmtId="0" fontId="4" fillId="0" borderId="56" xfId="0" applyFont="1" applyBorder="1" applyAlignment="1"/>
    <xf numFmtId="0" fontId="4" fillId="0" borderId="77" xfId="0" applyFont="1" applyBorder="1" applyAlignment="1"/>
    <xf numFmtId="0" fontId="4" fillId="0" borderId="58" xfId="0" applyFont="1" applyBorder="1" applyAlignment="1"/>
    <xf numFmtId="0" fontId="2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34" fillId="0" borderId="33" xfId="0" applyFont="1" applyBorder="1" applyAlignment="1">
      <alignment horizontal="center" vertical="center"/>
    </xf>
    <xf numFmtId="0" fontId="34" fillId="0" borderId="36" xfId="0" applyFont="1" applyBorder="1" applyAlignment="1">
      <alignment horizontal="center" vertical="center"/>
    </xf>
    <xf numFmtId="176" fontId="2" fillId="0" borderId="34" xfId="0" applyNumberFormat="1" applyFont="1" applyBorder="1" applyAlignment="1">
      <alignment horizontal="center" vertical="center"/>
    </xf>
    <xf numFmtId="176" fontId="2" fillId="0" borderId="37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37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4" fillId="0" borderId="39" xfId="0" applyFont="1" applyBorder="1" applyAlignment="1">
      <alignment horizontal="center" vertical="center"/>
    </xf>
    <xf numFmtId="0" fontId="34" fillId="0" borderId="55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0" fontId="34" fillId="0" borderId="65" xfId="0" applyFont="1" applyBorder="1" applyAlignment="1">
      <alignment horizontal="center" vertical="center"/>
    </xf>
    <xf numFmtId="0" fontId="34" fillId="0" borderId="56" xfId="0" applyFont="1" applyBorder="1" applyAlignment="1">
      <alignment horizontal="center" vertical="center"/>
    </xf>
    <xf numFmtId="0" fontId="34" fillId="0" borderId="42" xfId="0" applyFont="1" applyBorder="1" applyAlignment="1">
      <alignment horizontal="center" vertical="center"/>
    </xf>
    <xf numFmtId="0" fontId="26" fillId="0" borderId="66" xfId="0" applyFont="1" applyBorder="1" applyAlignment="1">
      <alignment horizontal="center" vertical="center"/>
    </xf>
    <xf numFmtId="0" fontId="26" fillId="0" borderId="67" xfId="0" applyFont="1" applyBorder="1" applyAlignment="1">
      <alignment horizontal="center" vertical="center"/>
    </xf>
    <xf numFmtId="0" fontId="26" fillId="0" borderId="57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6" fillId="0" borderId="54" xfId="0" applyFont="1" applyBorder="1" applyAlignment="1">
      <alignment horizontal="center" vertical="center"/>
    </xf>
    <xf numFmtId="0" fontId="26" fillId="0" borderId="49" xfId="0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top"/>
    </xf>
    <xf numFmtId="0" fontId="15" fillId="0" borderId="25" xfId="0" applyFont="1" applyBorder="1"/>
    <xf numFmtId="0" fontId="3" fillId="0" borderId="29" xfId="0" applyFont="1" applyBorder="1" applyAlignment="1">
      <alignment horizontal="center" vertical="center"/>
    </xf>
    <xf numFmtId="0" fontId="15" fillId="0" borderId="29" xfId="0" applyFont="1" applyBorder="1"/>
    <xf numFmtId="0" fontId="21" fillId="0" borderId="8" xfId="0" applyFont="1" applyBorder="1" applyAlignment="1">
      <alignment horizontal="center" vertical="center"/>
    </xf>
    <xf numFmtId="0" fontId="24" fillId="0" borderId="9" xfId="0" applyFont="1" applyBorder="1"/>
    <xf numFmtId="0" fontId="24" fillId="0" borderId="10" xfId="0" applyFont="1" applyBorder="1"/>
    <xf numFmtId="0" fontId="22" fillId="0" borderId="8" xfId="0" applyFont="1" applyBorder="1" applyAlignment="1">
      <alignment horizontal="center" vertical="center" textRotation="255"/>
    </xf>
    <xf numFmtId="0" fontId="22" fillId="0" borderId="9" xfId="0" applyFont="1" applyBorder="1" applyAlignment="1">
      <alignment horizontal="center" vertical="center" textRotation="255"/>
    </xf>
    <xf numFmtId="0" fontId="22" fillId="0" borderId="10" xfId="0" applyFont="1" applyBorder="1" applyAlignment="1">
      <alignment horizontal="center" vertical="center" textRotation="255"/>
    </xf>
    <xf numFmtId="0" fontId="3" fillId="0" borderId="16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15" fillId="0" borderId="17" xfId="0" applyFont="1" applyBorder="1"/>
    <xf numFmtId="176" fontId="3" fillId="0" borderId="27" xfId="0" applyNumberFormat="1" applyFont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0" fontId="22" fillId="7" borderId="8" xfId="0" applyFont="1" applyFill="1" applyBorder="1" applyAlignment="1">
      <alignment horizontal="center" vertical="center" textRotation="255"/>
    </xf>
    <xf numFmtId="0" fontId="22" fillId="7" borderId="9" xfId="0" applyFont="1" applyFill="1" applyBorder="1" applyAlignment="1">
      <alignment horizontal="center" vertical="center" textRotation="255"/>
    </xf>
    <xf numFmtId="0" fontId="22" fillId="7" borderId="10" xfId="0" applyFont="1" applyFill="1" applyBorder="1" applyAlignment="1">
      <alignment horizontal="center" vertical="center" textRotation="255"/>
    </xf>
    <xf numFmtId="0" fontId="23" fillId="0" borderId="8" xfId="0" applyFont="1" applyBorder="1" applyAlignment="1">
      <alignment horizontal="center" vertical="center" textRotation="255"/>
    </xf>
    <xf numFmtId="0" fontId="24" fillId="8" borderId="9" xfId="0" applyFont="1" applyFill="1" applyBorder="1"/>
    <xf numFmtId="0" fontId="24" fillId="8" borderId="10" xfId="0" applyFont="1" applyFill="1" applyBorder="1"/>
    <xf numFmtId="0" fontId="3" fillId="0" borderId="19" xfId="0" applyFont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8" fillId="6" borderId="44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distributed" vertical="center"/>
    </xf>
    <xf numFmtId="0" fontId="7" fillId="5" borderId="43" xfId="0" applyFont="1" applyFill="1" applyBorder="1" applyAlignment="1">
      <alignment horizontal="distributed" vertical="center"/>
    </xf>
    <xf numFmtId="0" fontId="7" fillId="5" borderId="13" xfId="0" applyFont="1" applyFill="1" applyBorder="1" applyAlignment="1">
      <alignment horizontal="center" vertical="top"/>
    </xf>
    <xf numFmtId="0" fontId="7" fillId="5" borderId="23" xfId="0" applyFont="1" applyFill="1" applyBorder="1" applyAlignment="1">
      <alignment horizontal="center" vertical="top"/>
    </xf>
    <xf numFmtId="177" fontId="9" fillId="0" borderId="0" xfId="0" applyNumberFormat="1" applyFont="1" applyAlignment="1">
      <alignment horizontal="center" vertical="center"/>
    </xf>
    <xf numFmtId="176" fontId="15" fillId="0" borderId="17" xfId="0" applyNumberFormat="1" applyFont="1" applyBorder="1"/>
    <xf numFmtId="0" fontId="14" fillId="0" borderId="21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5" fillId="0" borderId="16" xfId="0" applyFont="1" applyBorder="1"/>
    <xf numFmtId="176" fontId="3" fillId="0" borderId="15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18" xfId="0" applyFont="1" applyBorder="1"/>
    <xf numFmtId="0" fontId="3" fillId="0" borderId="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25" fillId="3" borderId="48" xfId="0" applyFont="1" applyFill="1" applyBorder="1" applyAlignment="1">
      <alignment horizontal="center" vertical="top"/>
    </xf>
    <xf numFmtId="0" fontId="16" fillId="3" borderId="49" xfId="0" applyFont="1" applyFill="1" applyBorder="1" applyAlignment="1">
      <alignment horizontal="center" vertical="top"/>
    </xf>
    <xf numFmtId="0" fontId="16" fillId="3" borderId="50" xfId="0" applyFont="1" applyFill="1" applyBorder="1" applyAlignment="1">
      <alignment horizontal="center" vertical="top"/>
    </xf>
    <xf numFmtId="0" fontId="16" fillId="3" borderId="51" xfId="0" applyFont="1" applyFill="1" applyBorder="1" applyAlignment="1">
      <alignment horizontal="center" vertical="top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4" fillId="0" borderId="52" xfId="0" applyFont="1" applyBorder="1" applyAlignment="1">
      <alignment horizontal="center" vertical="center"/>
    </xf>
    <xf numFmtId="0" fontId="34" fillId="0" borderId="48" xfId="0" applyFont="1" applyBorder="1" applyAlignment="1">
      <alignment horizontal="center" vertical="center"/>
    </xf>
    <xf numFmtId="0" fontId="34" fillId="0" borderId="53" xfId="0" applyFont="1" applyBorder="1" applyAlignment="1">
      <alignment horizontal="center" vertical="center"/>
    </xf>
    <xf numFmtId="0" fontId="15" fillId="0" borderId="46" xfId="0" applyFont="1" applyBorder="1"/>
    <xf numFmtId="0" fontId="15" fillId="0" borderId="45" xfId="0" applyFont="1" applyBorder="1"/>
    <xf numFmtId="176" fontId="3" fillId="0" borderId="0" xfId="0" applyNumberFormat="1" applyFont="1" applyAlignment="1">
      <alignment horizontal="center" vertical="center"/>
    </xf>
    <xf numFmtId="176" fontId="15" fillId="0" borderId="45" xfId="0" applyNumberFormat="1" applyFont="1" applyBorder="1"/>
    <xf numFmtId="0" fontId="14" fillId="0" borderId="11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34" fillId="0" borderId="59" xfId="0" applyFont="1" applyBorder="1" applyAlignment="1">
      <alignment horizontal="center" vertical="center"/>
    </xf>
    <xf numFmtId="176" fontId="2" fillId="0" borderId="28" xfId="0" applyNumberFormat="1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40" xfId="0" applyFont="1" applyBorder="1" applyAlignment="1">
      <alignment horizontal="center" vertical="center"/>
    </xf>
    <xf numFmtId="0" fontId="34" fillId="0" borderId="61" xfId="0" applyFont="1" applyBorder="1" applyAlignment="1">
      <alignment horizontal="center" vertical="center"/>
    </xf>
    <xf numFmtId="0" fontId="34" fillId="0" borderId="60" xfId="0" applyFont="1" applyBorder="1" applyAlignment="1">
      <alignment horizontal="center" vertical="center"/>
    </xf>
    <xf numFmtId="0" fontId="26" fillId="0" borderId="62" xfId="0" applyFont="1" applyBorder="1" applyAlignment="1">
      <alignment horizontal="center" vertical="center"/>
    </xf>
    <xf numFmtId="0" fontId="26" fillId="0" borderId="63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4" fillId="0" borderId="0" xfId="0" applyFont="1"/>
    <xf numFmtId="0" fontId="3" fillId="0" borderId="78" xfId="0" applyFont="1" applyBorder="1" applyAlignment="1">
      <alignment horizontal="center" vertical="center"/>
    </xf>
    <xf numFmtId="0" fontId="29" fillId="0" borderId="0" xfId="0" applyFont="1" applyAlignment="1" applyProtection="1">
      <alignment horizontal="center"/>
    </xf>
    <xf numFmtId="0" fontId="28" fillId="0" borderId="0" xfId="0" applyFont="1" applyAlignment="1">
      <alignment horizontal="left" vertical="center"/>
    </xf>
    <xf numFmtId="0" fontId="34" fillId="0" borderId="68" xfId="0" applyFont="1" applyBorder="1" applyAlignment="1">
      <alignment horizontal="center" vertical="center"/>
    </xf>
    <xf numFmtId="176" fontId="2" fillId="0" borderId="69" xfId="0" applyNumberFormat="1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71" xfId="0" applyFont="1" applyBorder="1" applyAlignment="1">
      <alignment horizontal="center" vertical="center"/>
    </xf>
    <xf numFmtId="0" fontId="26" fillId="0" borderId="72" xfId="0" applyFont="1" applyBorder="1" applyAlignment="1">
      <alignment horizontal="center" vertical="center"/>
    </xf>
    <xf numFmtId="0" fontId="26" fillId="0" borderId="51" xfId="0" applyFont="1" applyBorder="1" applyAlignment="1">
      <alignment horizontal="center" vertical="center"/>
    </xf>
  </cellXfs>
  <cellStyles count="1">
    <cellStyle name="一般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新細明體"/>
        <family val="1"/>
        <charset val="136"/>
        <scheme val="none"/>
      </font>
      <fill>
        <patternFill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ck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ont>
        <strike val="0"/>
        <outline val="0"/>
        <shadow val="0"/>
        <u val="none"/>
        <vertAlign val="baseline"/>
        <name val="新細明體"/>
        <family val="1"/>
        <charset val="136"/>
        <scheme val="none"/>
      </font>
    </dxf>
    <dxf>
      <fill>
        <patternFill>
          <bgColor theme="6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DBDBD"/>
          <bgColor rgb="FFBDBDBD"/>
        </patternFill>
      </fill>
    </dxf>
  </dxfs>
  <tableStyles count="1" defaultTableStyle="TableStyleMedium2" defaultPivotStyle="PivotStyleLight16">
    <tableStyle name="工作表1-style" pivot="0" count="3" xr9:uid="{00000000-0011-0000-FFFF-FFFF00000000}">
      <tableStyleElement type="headerRow" dxfId="13"/>
      <tableStyleElement type="firstRowStripe" dxfId="12"/>
      <tableStyleElement type="secondRowStripe" dxfId="11"/>
    </tableStyle>
  </tableStyles>
  <colors>
    <mruColors>
      <color rgb="FFFCE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U$7" max="5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Spin" dx="22" fmlaLink="$X$16" max="13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771525</xdr:colOff>
          <xdr:row>12</xdr:row>
          <xdr:rowOff>180975</xdr:rowOff>
        </xdr:from>
        <xdr:to>
          <xdr:col>19</xdr:col>
          <xdr:colOff>838200</xdr:colOff>
          <xdr:row>15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9525</xdr:rowOff>
        </xdr:from>
        <xdr:to>
          <xdr:col>23</xdr:col>
          <xdr:colOff>0</xdr:colOff>
          <xdr:row>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重製號碼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371475</xdr:colOff>
      <xdr:row>43</xdr:row>
      <xdr:rowOff>104775</xdr:rowOff>
    </xdr:from>
    <xdr:ext cx="828675" cy="581025"/>
    <xdr:grpSp>
      <xdr:nvGrpSpPr>
        <xdr:cNvPr id="2" name="Shape 2" title="繪圖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956832" y="8881382"/>
          <a:ext cx="828675" cy="581025"/>
          <a:chOff x="4931663" y="3489488"/>
          <a:chExt cx="828675" cy="581025"/>
        </a:xfrm>
      </xdr:grpSpPr>
      <xdr:grpSp>
        <xdr:nvGrpSpPr>
          <xdr:cNvPr id="3" name="Shape 3" title="繪圖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4931663" y="3489488"/>
            <a:ext cx="828675" cy="581025"/>
            <a:chOff x="2012278" y="1384025"/>
            <a:chExt cx="942419" cy="657675"/>
          </a:xfrm>
        </xdr:grpSpPr>
        <xdr:sp macro="" textlink="">
          <xdr:nvSpPr>
            <xdr:cNvPr id="4" name="Shape 4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>
            <a:xfrm>
              <a:off x="2012278" y="1384025"/>
              <a:ext cx="942400" cy="65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5" name="Shape 5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2012397" y="1384025"/>
              <a:ext cx="942300" cy="458700"/>
            </a:xfrm>
            <a:prstGeom prst="rect">
              <a:avLst/>
            </a:prstGeom>
            <a:solidFill>
              <a:srgbClr val="B7B7B7"/>
            </a:solidFill>
            <a:ln w="9525" cap="flat" cmpd="sng">
              <a:solidFill>
                <a:srgbClr val="B7B7B7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r>
                <a:rPr lang="en-US" sz="1400"/>
                <a:t>講台</a:t>
              </a:r>
              <a:endParaRPr sz="1400"/>
            </a:p>
          </xdr:txBody>
        </xdr:sp>
        <xdr:sp macro="" textlink="">
          <xdr:nvSpPr>
            <xdr:cNvPr id="6" name="Shape 6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 rot="10800000">
              <a:off x="2012278" y="1842500"/>
              <a:ext cx="942300" cy="199200"/>
            </a:xfrm>
            <a:prstGeom prst="trapezoid">
              <a:avLst>
                <a:gd name="adj" fmla="val 25000"/>
              </a:avLst>
            </a:prstGeom>
            <a:solidFill>
              <a:srgbClr val="666666"/>
            </a:solidFill>
            <a:ln w="9525" cap="flat" cmpd="sng">
              <a:solidFill>
                <a:srgbClr val="666666"/>
              </a:solidFill>
              <a:prstDash val="solid"/>
              <a:round/>
              <a:headEnd type="none" w="sm" len="sm"/>
              <a:tailEnd type="none" w="sm" len="sm"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SzPts val="1400"/>
                <a:buFont typeface="Arial"/>
                <a:buNone/>
              </a:pPr>
              <a:endParaRPr sz="1400"/>
            </a:p>
          </xdr:txBody>
        </xdr:sp>
      </xdr:grp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457200</xdr:colOff>
          <xdr:row>6</xdr:row>
          <xdr:rowOff>9525</xdr:rowOff>
        </xdr:from>
        <xdr:to>
          <xdr:col>20</xdr:col>
          <xdr:colOff>685800</xdr:colOff>
          <xdr:row>7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190500</xdr:rowOff>
        </xdr:from>
        <xdr:to>
          <xdr:col>23</xdr:col>
          <xdr:colOff>0</xdr:colOff>
          <xdr:row>5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隨機所有位置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36</xdr:row>
          <xdr:rowOff>180975</xdr:rowOff>
        </xdr:from>
        <xdr:to>
          <xdr:col>17</xdr:col>
          <xdr:colOff>781050</xdr:colOff>
          <xdr:row>41</xdr:row>
          <xdr:rowOff>66675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隨機分配座位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36</xdr:row>
          <xdr:rowOff>171450</xdr:rowOff>
        </xdr:from>
        <xdr:to>
          <xdr:col>20</xdr:col>
          <xdr:colOff>628650</xdr:colOff>
          <xdr:row>41</xdr:row>
          <xdr:rowOff>76200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zh-TW" altLang="en-US" sz="24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隨機分配號碼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12</xdr:row>
          <xdr:rowOff>95250</xdr:rowOff>
        </xdr:from>
        <xdr:to>
          <xdr:col>23</xdr:col>
          <xdr:colOff>9525</xdr:colOff>
          <xdr:row>14</xdr:row>
          <xdr:rowOff>190500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清除座位表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細明體"/>
                  <a:ea typeface="細明體"/>
                </a:rPr>
                <a:t>備份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257175</xdr:colOff>
          <xdr:row>14</xdr:row>
          <xdr:rowOff>85725</xdr:rowOff>
        </xdr:from>
        <xdr:to>
          <xdr:col>24</xdr:col>
          <xdr:colOff>485775</xdr:colOff>
          <xdr:row>16</xdr:row>
          <xdr:rowOff>66675</xdr:rowOff>
        </xdr:to>
        <xdr:sp macro="" textlink="">
          <xdr:nvSpPr>
            <xdr:cNvPr id="1054" name="Spinner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B48" headerRowCount="0" headerRowDxfId="4" dataDxfId="3" totalsRowDxfId="2">
  <tableColumns count="2">
    <tableColumn id="1" xr3:uid="{00000000-0010-0000-0000-000001000000}" name="Column1" dataDxfId="1"/>
    <tableColumn id="2" xr3:uid="{5D05CE4C-8BD8-430E-ABB8-D9E174AD4912}" name="欄1" dataDxfId="0"/>
  </tableColumns>
  <tableStyleInfo name="工作表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outlinePr summaryBelow="0" summaryRight="0"/>
    <pageSetUpPr fitToPage="1"/>
  </sheetPr>
  <dimension ref="A1:X200"/>
  <sheetViews>
    <sheetView tabSelected="1" zoomScale="70" zoomScaleNormal="70" workbookViewId="0">
      <selection sqref="A1:B1"/>
    </sheetView>
  </sheetViews>
  <sheetFormatPr defaultColWidth="12.5703125" defaultRowHeight="15" customHeight="1" x14ac:dyDescent="0.25"/>
  <cols>
    <col min="1" max="1" width="4.42578125" style="7" customWidth="1"/>
    <col min="2" max="2" width="8.7109375" style="7" customWidth="1"/>
    <col min="3" max="3" width="2.28515625" style="7" customWidth="1"/>
    <col min="4" max="11" width="7.7109375" style="7" customWidth="1"/>
    <col min="12" max="12" width="5.5703125" style="7" customWidth="1"/>
    <col min="13" max="13" width="2.85546875" style="7" customWidth="1"/>
    <col min="14" max="14" width="7.7109375" style="11" customWidth="1"/>
    <col min="15" max="15" width="12.7109375" style="7" customWidth="1"/>
    <col min="16" max="16" width="2.7109375" style="7" customWidth="1"/>
    <col min="17" max="17" width="4.7109375" style="7" customWidth="1"/>
    <col min="18" max="18" width="12.140625" style="7" customWidth="1"/>
    <col min="19" max="16384" width="12.5703125" style="7"/>
  </cols>
  <sheetData>
    <row r="1" spans="1:24" ht="15.75" customHeight="1" thickTop="1" thickBot="1" x14ac:dyDescent="0.5">
      <c r="A1" s="107" t="s">
        <v>0</v>
      </c>
      <c r="B1" s="108"/>
      <c r="D1" s="109" t="s">
        <v>8</v>
      </c>
      <c r="E1" s="109"/>
      <c r="F1" s="109"/>
      <c r="G1" s="109"/>
      <c r="H1" s="109"/>
      <c r="I1" s="109"/>
      <c r="J1" s="109"/>
      <c r="K1" s="109"/>
      <c r="L1" s="109"/>
      <c r="M1" s="109"/>
      <c r="N1" s="12"/>
      <c r="O1" s="111" t="s">
        <v>10</v>
      </c>
      <c r="P1" s="111"/>
      <c r="Q1" s="111"/>
      <c r="R1" s="111"/>
    </row>
    <row r="2" spans="1:24" ht="15.75" customHeight="1" x14ac:dyDescent="0.45">
      <c r="A2" s="19">
        <v>1</v>
      </c>
      <c r="B2" s="2"/>
      <c r="C2" s="26" t="str">
        <f>IF(COUNTIF($D$7:$K$37,$A2)&gt;0, " ", "")</f>
        <v/>
      </c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2"/>
      <c r="O2" s="111"/>
      <c r="P2" s="111"/>
      <c r="Q2" s="111"/>
      <c r="R2" s="111"/>
      <c r="T2" s="16"/>
      <c r="U2" s="16"/>
      <c r="V2" s="16"/>
    </row>
    <row r="3" spans="1:24" ht="15.75" customHeight="1" x14ac:dyDescent="0.45">
      <c r="A3" s="20">
        <v>2</v>
      </c>
      <c r="B3" s="3"/>
      <c r="C3" s="26" t="str">
        <f t="shared" ref="C3:C48" si="0">IF(COUNTIF($D$7:$K$37,$A3)&gt;0, " ", "")</f>
        <v/>
      </c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2"/>
      <c r="O3" s="130">
        <f ca="1">TODAY()</f>
        <v>45187</v>
      </c>
      <c r="P3" s="41"/>
      <c r="Q3" s="41"/>
      <c r="R3" s="41"/>
    </row>
    <row r="4" spans="1:24" ht="15.75" customHeight="1" thickBot="1" x14ac:dyDescent="0.3">
      <c r="A4" s="20">
        <v>3</v>
      </c>
      <c r="B4" s="3"/>
      <c r="C4" s="26" t="str">
        <f t="shared" si="0"/>
        <v/>
      </c>
      <c r="D4" s="139" t="s">
        <v>17</v>
      </c>
      <c r="E4" s="139"/>
      <c r="F4" s="110"/>
      <c r="G4" s="110"/>
      <c r="H4" s="95" t="str">
        <f>IF(COUNTIF(B2:B57, "*")&gt;0, COUNTIF(B2:B57, "*"), "全班人數:        人")</f>
        <v>全班人數:        人</v>
      </c>
      <c r="I4" s="95"/>
      <c r="J4" s="95"/>
      <c r="K4" s="95"/>
    </row>
    <row r="5" spans="1:24" ht="15.75" customHeight="1" x14ac:dyDescent="0.25">
      <c r="A5" s="20">
        <v>4</v>
      </c>
      <c r="B5" s="3"/>
      <c r="C5" s="26" t="str">
        <f t="shared" si="0"/>
        <v/>
      </c>
      <c r="D5" s="139"/>
      <c r="E5" s="139"/>
      <c r="F5" s="110"/>
      <c r="G5" s="110"/>
      <c r="H5" s="95"/>
      <c r="I5" s="95"/>
      <c r="J5" s="95"/>
      <c r="K5" s="95"/>
      <c r="O5" s="91" t="s">
        <v>15</v>
      </c>
      <c r="P5" s="93" t="s">
        <v>16</v>
      </c>
      <c r="Q5" s="87"/>
      <c r="R5" s="88"/>
      <c r="T5" s="16"/>
      <c r="U5" s="16"/>
      <c r="V5" s="16"/>
    </row>
    <row r="6" spans="1:24" ht="15.75" customHeight="1" thickBot="1" x14ac:dyDescent="0.3">
      <c r="A6" s="21">
        <v>5</v>
      </c>
      <c r="B6" s="17"/>
      <c r="C6" s="26" t="str">
        <f t="shared" si="0"/>
        <v/>
      </c>
      <c r="O6" s="92"/>
      <c r="P6" s="94"/>
      <c r="Q6" s="89"/>
      <c r="R6" s="90"/>
      <c r="T6" s="16"/>
      <c r="U6" s="16"/>
      <c r="V6" s="16"/>
    </row>
    <row r="7" spans="1:24" ht="15.75" customHeight="1" thickTop="1" thickBot="1" x14ac:dyDescent="0.3">
      <c r="A7" s="19">
        <v>6</v>
      </c>
      <c r="B7" s="5"/>
      <c r="C7" s="26" t="str">
        <f t="shared" si="0"/>
        <v/>
      </c>
      <c r="D7" s="28"/>
      <c r="E7" s="29"/>
      <c r="F7" s="28"/>
      <c r="G7" s="29"/>
      <c r="H7" s="28"/>
      <c r="I7" s="30"/>
      <c r="J7" s="28"/>
      <c r="K7" s="29"/>
      <c r="L7" s="13" t="s">
        <v>1</v>
      </c>
      <c r="M7" s="69">
        <v>6</v>
      </c>
      <c r="N7" s="14"/>
      <c r="O7" s="103" t="s">
        <v>28</v>
      </c>
      <c r="P7" s="104" t="s">
        <v>7</v>
      </c>
      <c r="Q7" s="100"/>
      <c r="R7" s="106" t="str">
        <f>IF(Q7&gt;0, VLOOKUP(Q7, $A$2:$B$50, 2), "")</f>
        <v/>
      </c>
      <c r="S7" s="142" t="s">
        <v>35</v>
      </c>
      <c r="T7" s="142"/>
      <c r="U7" s="143">
        <v>1</v>
      </c>
      <c r="V7" s="11"/>
      <c r="W7" s="61"/>
    </row>
    <row r="8" spans="1:24" ht="15.75" customHeight="1" x14ac:dyDescent="0.25">
      <c r="A8" s="20">
        <v>7</v>
      </c>
      <c r="B8" s="3"/>
      <c r="C8" s="26" t="str">
        <f t="shared" si="0"/>
        <v/>
      </c>
      <c r="D8" s="72" t="str">
        <f t="shared" ref="D8:K8" si="1">IF(AND(ISNUMBER(D7), D7&gt;0), VLOOKUP(D7, $A$2:$B$52, 2), "")</f>
        <v/>
      </c>
      <c r="E8" s="80" t="str">
        <f t="shared" si="1"/>
        <v/>
      </c>
      <c r="F8" s="72" t="str">
        <f t="shared" si="1"/>
        <v/>
      </c>
      <c r="G8" s="80" t="str">
        <f t="shared" si="1"/>
        <v/>
      </c>
      <c r="H8" s="72" t="str">
        <f t="shared" si="1"/>
        <v/>
      </c>
      <c r="I8" s="80" t="str">
        <f t="shared" si="1"/>
        <v/>
      </c>
      <c r="J8" s="72" t="str">
        <f t="shared" si="1"/>
        <v/>
      </c>
      <c r="K8" s="80" t="str">
        <f t="shared" si="1"/>
        <v/>
      </c>
      <c r="L8" s="83" t="s">
        <v>2</v>
      </c>
      <c r="M8" s="70"/>
      <c r="N8" s="15"/>
      <c r="O8" s="75"/>
      <c r="P8" s="105"/>
      <c r="Q8" s="79"/>
      <c r="R8" s="98"/>
      <c r="S8" s="142"/>
      <c r="T8" s="142"/>
      <c r="U8" s="143"/>
      <c r="V8" s="11"/>
      <c r="W8" s="61"/>
    </row>
    <row r="9" spans="1:24" ht="15.75" customHeight="1" x14ac:dyDescent="0.25">
      <c r="A9" s="20">
        <v>8</v>
      </c>
      <c r="B9" s="3"/>
      <c r="C9" s="26" t="str">
        <f t="shared" si="0"/>
        <v/>
      </c>
      <c r="D9" s="73"/>
      <c r="E9" s="81"/>
      <c r="F9" s="73"/>
      <c r="G9" s="81"/>
      <c r="H9" s="73"/>
      <c r="I9" s="81"/>
      <c r="J9" s="73"/>
      <c r="K9" s="81"/>
      <c r="L9" s="70"/>
      <c r="M9" s="70"/>
      <c r="N9" s="15"/>
      <c r="O9" s="86" t="s">
        <v>29</v>
      </c>
      <c r="P9" s="101" t="s">
        <v>3</v>
      </c>
      <c r="Q9" s="78"/>
      <c r="R9" s="97" t="str">
        <f>IF(Q9&gt;0, VLOOKUP(Q9, $A$2:$B$50, 2), "")</f>
        <v/>
      </c>
    </row>
    <row r="10" spans="1:24" ht="15.75" customHeight="1" x14ac:dyDescent="0.25">
      <c r="A10" s="20">
        <v>9</v>
      </c>
      <c r="B10" s="3"/>
      <c r="C10" s="26" t="str">
        <f t="shared" si="0"/>
        <v/>
      </c>
      <c r="D10" s="73"/>
      <c r="E10" s="81"/>
      <c r="F10" s="73"/>
      <c r="G10" s="81"/>
      <c r="H10" s="73"/>
      <c r="I10" s="81"/>
      <c r="J10" s="73"/>
      <c r="K10" s="81"/>
      <c r="L10" s="70"/>
      <c r="M10" s="70"/>
      <c r="N10" s="15"/>
      <c r="O10" s="75"/>
      <c r="P10" s="77"/>
      <c r="Q10" s="79"/>
      <c r="R10" s="98"/>
    </row>
    <row r="11" spans="1:24" ht="15.75" customHeight="1" thickBot="1" x14ac:dyDescent="0.3">
      <c r="A11" s="21">
        <v>10</v>
      </c>
      <c r="B11" s="17"/>
      <c r="C11" s="26" t="str">
        <f t="shared" si="0"/>
        <v/>
      </c>
      <c r="D11" s="73"/>
      <c r="E11" s="81"/>
      <c r="F11" s="73"/>
      <c r="G11" s="81"/>
      <c r="H11" s="73"/>
      <c r="I11" s="81"/>
      <c r="J11" s="73"/>
      <c r="K11" s="81"/>
      <c r="L11" s="70"/>
      <c r="M11" s="70"/>
      <c r="N11" s="15"/>
      <c r="O11" s="86" t="s">
        <v>4</v>
      </c>
      <c r="P11" s="101" t="s">
        <v>3</v>
      </c>
      <c r="Q11" s="78"/>
      <c r="R11" s="97" t="str">
        <f>IF(Q11&gt;0, VLOOKUP(Q11, $A$2:$B$50, 2), "")</f>
        <v/>
      </c>
    </row>
    <row r="12" spans="1:24" ht="15.75" customHeight="1" thickBot="1" x14ac:dyDescent="0.3">
      <c r="A12" s="19">
        <v>11</v>
      </c>
      <c r="B12" s="2"/>
      <c r="C12" s="26" t="str">
        <f t="shared" si="0"/>
        <v/>
      </c>
      <c r="D12" s="74"/>
      <c r="E12" s="82"/>
      <c r="F12" s="74"/>
      <c r="G12" s="82"/>
      <c r="H12" s="74"/>
      <c r="I12" s="82"/>
      <c r="J12" s="74"/>
      <c r="K12" s="82"/>
      <c r="L12" s="71"/>
      <c r="M12" s="71"/>
      <c r="N12" s="15"/>
      <c r="O12" s="75"/>
      <c r="P12" s="77"/>
      <c r="Q12" s="79"/>
      <c r="R12" s="102"/>
    </row>
    <row r="13" spans="1:24" ht="15.75" customHeight="1" thickBot="1" x14ac:dyDescent="0.3">
      <c r="A13" s="20">
        <v>12</v>
      </c>
      <c r="B13" s="3"/>
      <c r="C13" s="26" t="str">
        <f t="shared" si="0"/>
        <v/>
      </c>
      <c r="D13" s="31"/>
      <c r="E13" s="30"/>
      <c r="F13" s="31"/>
      <c r="G13" s="30"/>
      <c r="H13" s="28"/>
      <c r="I13" s="30"/>
      <c r="J13" s="31"/>
      <c r="K13" s="30"/>
      <c r="L13" s="13" t="s">
        <v>1</v>
      </c>
      <c r="M13" s="69">
        <v>5</v>
      </c>
      <c r="N13" s="14"/>
      <c r="O13" s="86" t="s">
        <v>5</v>
      </c>
      <c r="P13" s="76" t="s">
        <v>3</v>
      </c>
      <c r="Q13" s="78"/>
      <c r="R13" s="97" t="str">
        <f>IF(Q13&gt;0, VLOOKUP(Q13, $A$2:$B$50, 2), "")</f>
        <v/>
      </c>
    </row>
    <row r="14" spans="1:24" ht="15.75" customHeight="1" x14ac:dyDescent="0.25">
      <c r="A14" s="20">
        <v>13</v>
      </c>
      <c r="B14" s="4"/>
      <c r="C14" s="26" t="str">
        <f t="shared" si="0"/>
        <v/>
      </c>
      <c r="D14" s="72" t="str">
        <f t="shared" ref="D14:K14" si="2">IF(AND(ISNUMBER(D13), D13&gt;0), VLOOKUP(D13, $A$2:$B$52, 2), "")</f>
        <v/>
      </c>
      <c r="E14" s="80" t="str">
        <f t="shared" si="2"/>
        <v/>
      </c>
      <c r="F14" s="72" t="str">
        <f t="shared" si="2"/>
        <v/>
      </c>
      <c r="G14" s="80" t="str">
        <f t="shared" si="2"/>
        <v/>
      </c>
      <c r="H14" s="72" t="str">
        <f t="shared" si="2"/>
        <v/>
      </c>
      <c r="I14" s="80" t="str">
        <f t="shared" si="2"/>
        <v/>
      </c>
      <c r="J14" s="72" t="str">
        <f t="shared" si="2"/>
        <v/>
      </c>
      <c r="K14" s="80" t="str">
        <f t="shared" si="2"/>
        <v/>
      </c>
      <c r="L14" s="83" t="s">
        <v>2</v>
      </c>
      <c r="M14" s="70"/>
      <c r="N14" s="15"/>
      <c r="O14" s="75"/>
      <c r="P14" s="77"/>
      <c r="Q14" s="79"/>
      <c r="R14" s="98"/>
      <c r="U14" s="62" t="s">
        <v>37</v>
      </c>
      <c r="X14" s="11" t="s">
        <v>39</v>
      </c>
    </row>
    <row r="15" spans="1:24" ht="15.75" customHeight="1" x14ac:dyDescent="0.25">
      <c r="A15" s="20">
        <v>14</v>
      </c>
      <c r="B15" s="3"/>
      <c r="C15" s="26" t="str">
        <f t="shared" si="0"/>
        <v/>
      </c>
      <c r="D15" s="73"/>
      <c r="E15" s="84"/>
      <c r="F15" s="70"/>
      <c r="G15" s="84"/>
      <c r="H15" s="70"/>
      <c r="I15" s="84"/>
      <c r="J15" s="70"/>
      <c r="K15" s="84"/>
      <c r="L15" s="70"/>
      <c r="M15" s="70"/>
      <c r="N15" s="15"/>
      <c r="O15" s="86" t="s">
        <v>30</v>
      </c>
      <c r="P15" s="76" t="s">
        <v>3</v>
      </c>
      <c r="Q15" s="78"/>
      <c r="R15" s="97" t="str">
        <f>IF(Q15&gt;0, VLOOKUP(Q15, $A$2:$B$50, 2), "")</f>
        <v/>
      </c>
      <c r="U15" s="41"/>
      <c r="X15" s="11"/>
    </row>
    <row r="16" spans="1:24" ht="15.75" customHeight="1" thickBot="1" x14ac:dyDescent="0.3">
      <c r="A16" s="21">
        <v>15</v>
      </c>
      <c r="B16" s="17"/>
      <c r="C16" s="26" t="str">
        <f t="shared" si="0"/>
        <v/>
      </c>
      <c r="D16" s="73"/>
      <c r="E16" s="84"/>
      <c r="F16" s="70"/>
      <c r="G16" s="84"/>
      <c r="H16" s="70"/>
      <c r="I16" s="84"/>
      <c r="J16" s="70"/>
      <c r="K16" s="84"/>
      <c r="L16" s="70"/>
      <c r="M16" s="70"/>
      <c r="N16" s="15"/>
      <c r="O16" s="75"/>
      <c r="P16" s="105"/>
      <c r="Q16" s="79"/>
      <c r="R16" s="102"/>
      <c r="U16" s="61"/>
      <c r="W16" s="7" t="s">
        <v>38</v>
      </c>
      <c r="X16" s="7">
        <v>1</v>
      </c>
    </row>
    <row r="17" spans="1:21" ht="15.75" customHeight="1" x14ac:dyDescent="0.25">
      <c r="A17" s="19">
        <v>16</v>
      </c>
      <c r="B17" s="2"/>
      <c r="C17" s="26" t="str">
        <f t="shared" si="0"/>
        <v/>
      </c>
      <c r="D17" s="73"/>
      <c r="E17" s="84"/>
      <c r="F17" s="70"/>
      <c r="G17" s="84"/>
      <c r="H17" s="70"/>
      <c r="I17" s="84"/>
      <c r="J17" s="70"/>
      <c r="K17" s="84"/>
      <c r="L17" s="70"/>
      <c r="M17" s="70"/>
      <c r="N17" s="15"/>
      <c r="O17" s="86" t="s">
        <v>31</v>
      </c>
      <c r="P17" s="76" t="s">
        <v>3</v>
      </c>
      <c r="Q17" s="78"/>
      <c r="R17" s="97" t="str">
        <f>IF(Q17&gt;0, VLOOKUP(Q17, $A$2:$B$50, 2), "")</f>
        <v/>
      </c>
      <c r="U17" s="61"/>
    </row>
    <row r="18" spans="1:21" ht="15.75" customHeight="1" thickBot="1" x14ac:dyDescent="0.3">
      <c r="A18" s="20">
        <v>17</v>
      </c>
      <c r="B18" s="3"/>
      <c r="C18" s="26" t="str">
        <f t="shared" si="0"/>
        <v/>
      </c>
      <c r="D18" s="74"/>
      <c r="E18" s="85"/>
      <c r="F18" s="71"/>
      <c r="G18" s="85"/>
      <c r="H18" s="71"/>
      <c r="I18" s="85"/>
      <c r="J18" s="71"/>
      <c r="K18" s="85"/>
      <c r="L18" s="71"/>
      <c r="M18" s="71"/>
      <c r="N18" s="15"/>
      <c r="O18" s="75"/>
      <c r="P18" s="77"/>
      <c r="Q18" s="79"/>
      <c r="R18" s="98"/>
    </row>
    <row r="19" spans="1:21" ht="15.75" customHeight="1" thickBot="1" x14ac:dyDescent="0.3">
      <c r="A19" s="20">
        <v>18</v>
      </c>
      <c r="B19" s="3"/>
      <c r="C19" s="26" t="str">
        <f t="shared" si="0"/>
        <v/>
      </c>
      <c r="D19" s="31"/>
      <c r="E19" s="30"/>
      <c r="F19" s="31"/>
      <c r="G19" s="29"/>
      <c r="H19" s="31"/>
      <c r="I19" s="30"/>
      <c r="J19" s="28"/>
      <c r="K19" s="30"/>
      <c r="L19" s="13" t="s">
        <v>1</v>
      </c>
      <c r="M19" s="69">
        <v>4</v>
      </c>
      <c r="N19" s="14"/>
      <c r="O19" s="86" t="s">
        <v>32</v>
      </c>
      <c r="P19" s="76" t="s">
        <v>3</v>
      </c>
      <c r="Q19" s="78"/>
      <c r="R19" s="97" t="str">
        <f>IF(Q19&gt;0, VLOOKUP(Q19, $A$2:$B$50, 2), "")</f>
        <v/>
      </c>
    </row>
    <row r="20" spans="1:21" ht="15.75" customHeight="1" x14ac:dyDescent="0.25">
      <c r="A20" s="20">
        <v>19</v>
      </c>
      <c r="B20" s="3"/>
      <c r="C20" s="26" t="str">
        <f t="shared" si="0"/>
        <v/>
      </c>
      <c r="D20" s="72" t="str">
        <f t="shared" ref="D20:K20" si="3">IF(AND(ISNUMBER(D19), D19&gt;0), VLOOKUP(D19, $A$2:$B$52, 2), "")</f>
        <v/>
      </c>
      <c r="E20" s="80" t="str">
        <f t="shared" si="3"/>
        <v/>
      </c>
      <c r="F20" s="72" t="str">
        <f t="shared" si="3"/>
        <v/>
      </c>
      <c r="G20" s="80" t="str">
        <f t="shared" si="3"/>
        <v/>
      </c>
      <c r="H20" s="72" t="str">
        <f t="shared" si="3"/>
        <v/>
      </c>
      <c r="I20" s="80" t="str">
        <f t="shared" si="3"/>
        <v/>
      </c>
      <c r="J20" s="72" t="str">
        <f t="shared" si="3"/>
        <v/>
      </c>
      <c r="K20" s="80" t="str">
        <f t="shared" si="3"/>
        <v/>
      </c>
      <c r="L20" s="83" t="s">
        <v>2</v>
      </c>
      <c r="M20" s="70"/>
      <c r="N20" s="15"/>
      <c r="O20" s="75"/>
      <c r="P20" s="77"/>
      <c r="Q20" s="79"/>
      <c r="R20" s="98"/>
    </row>
    <row r="21" spans="1:21" ht="15.75" customHeight="1" thickBot="1" x14ac:dyDescent="0.3">
      <c r="A21" s="21">
        <v>20</v>
      </c>
      <c r="B21" s="17"/>
      <c r="C21" s="26" t="str">
        <f t="shared" si="0"/>
        <v/>
      </c>
      <c r="D21" s="73"/>
      <c r="E21" s="81"/>
      <c r="F21" s="73"/>
      <c r="G21" s="81"/>
      <c r="H21" s="73"/>
      <c r="I21" s="81"/>
      <c r="J21" s="73"/>
      <c r="K21" s="81"/>
      <c r="L21" s="70"/>
      <c r="M21" s="70"/>
      <c r="N21" s="15"/>
      <c r="O21" s="86" t="s">
        <v>33</v>
      </c>
      <c r="P21" s="76" t="s">
        <v>3</v>
      </c>
      <c r="Q21" s="78"/>
      <c r="R21" s="97" t="str">
        <f>IF(Q21&gt;0, VLOOKUP(Q21, $A$2:$B$50, 2), "")</f>
        <v/>
      </c>
    </row>
    <row r="22" spans="1:21" ht="15.75" customHeight="1" x14ac:dyDescent="0.25">
      <c r="A22" s="19">
        <v>21</v>
      </c>
      <c r="B22" s="2"/>
      <c r="C22" s="26" t="str">
        <f t="shared" si="0"/>
        <v/>
      </c>
      <c r="D22" s="73"/>
      <c r="E22" s="81"/>
      <c r="F22" s="73"/>
      <c r="G22" s="81"/>
      <c r="H22" s="73"/>
      <c r="I22" s="81"/>
      <c r="J22" s="73"/>
      <c r="K22" s="81"/>
      <c r="L22" s="70"/>
      <c r="M22" s="70"/>
      <c r="N22" s="15"/>
      <c r="O22" s="75"/>
      <c r="P22" s="77"/>
      <c r="Q22" s="79"/>
      <c r="R22" s="98"/>
    </row>
    <row r="23" spans="1:21" ht="15.75" customHeight="1" x14ac:dyDescent="0.25">
      <c r="A23" s="20">
        <v>22</v>
      </c>
      <c r="B23" s="4"/>
      <c r="C23" s="26" t="str">
        <f t="shared" si="0"/>
        <v/>
      </c>
      <c r="D23" s="73"/>
      <c r="E23" s="81"/>
      <c r="F23" s="73"/>
      <c r="G23" s="81"/>
      <c r="H23" s="73"/>
      <c r="I23" s="81"/>
      <c r="J23" s="73"/>
      <c r="K23" s="81"/>
      <c r="L23" s="70"/>
      <c r="M23" s="70"/>
      <c r="N23" s="15"/>
      <c r="O23" s="86" t="s">
        <v>34</v>
      </c>
      <c r="P23" s="76" t="s">
        <v>3</v>
      </c>
      <c r="Q23" s="78"/>
      <c r="R23" s="97" t="str">
        <f>IF(Q23&gt;0, VLOOKUP(Q23, $A$2:$B$50, 2), "")</f>
        <v/>
      </c>
    </row>
    <row r="24" spans="1:21" ht="15.75" customHeight="1" thickBot="1" x14ac:dyDescent="0.3">
      <c r="A24" s="20">
        <v>23</v>
      </c>
      <c r="B24" s="3"/>
      <c r="C24" s="26" t="str">
        <f t="shared" si="0"/>
        <v/>
      </c>
      <c r="D24" s="74"/>
      <c r="E24" s="82"/>
      <c r="F24" s="74"/>
      <c r="G24" s="82"/>
      <c r="H24" s="74"/>
      <c r="I24" s="82"/>
      <c r="J24" s="74"/>
      <c r="K24" s="82"/>
      <c r="L24" s="71"/>
      <c r="M24" s="71"/>
      <c r="N24" s="15"/>
      <c r="O24" s="99"/>
      <c r="P24" s="77"/>
      <c r="Q24" s="79"/>
      <c r="R24" s="102"/>
    </row>
    <row r="25" spans="1:21" ht="15.75" customHeight="1" thickBot="1" x14ac:dyDescent="0.3">
      <c r="A25" s="20">
        <v>24</v>
      </c>
      <c r="B25" s="3"/>
      <c r="C25" s="26" t="str">
        <f t="shared" si="0"/>
        <v/>
      </c>
      <c r="D25" s="28"/>
      <c r="E25" s="30"/>
      <c r="F25" s="31"/>
      <c r="G25" s="30"/>
      <c r="H25" s="31"/>
      <c r="I25" s="30"/>
      <c r="J25" s="31"/>
      <c r="K25" s="30"/>
      <c r="L25" s="13" t="s">
        <v>1</v>
      </c>
      <c r="M25" s="69">
        <v>3</v>
      </c>
      <c r="N25" s="14"/>
      <c r="O25" s="67" t="s">
        <v>36</v>
      </c>
      <c r="P25" s="76" t="s">
        <v>3</v>
      </c>
      <c r="Q25" s="78"/>
      <c r="R25" s="97" t="str">
        <f>IF(Q25&gt;0, VLOOKUP(Q25, $A$2:$B$50, 2), "")</f>
        <v/>
      </c>
    </row>
    <row r="26" spans="1:21" ht="15.75" customHeight="1" thickBot="1" x14ac:dyDescent="0.3">
      <c r="A26" s="21">
        <v>25</v>
      </c>
      <c r="B26" s="17"/>
      <c r="C26" s="26" t="str">
        <f t="shared" si="0"/>
        <v/>
      </c>
      <c r="D26" s="72" t="str">
        <f t="shared" ref="D26:K26" si="4">IF(AND(ISNUMBER(D25), D25&gt;0), VLOOKUP(D25, $A$2:$B$52, 2), "")</f>
        <v/>
      </c>
      <c r="E26" s="80" t="str">
        <f t="shared" si="4"/>
        <v/>
      </c>
      <c r="F26" s="72" t="str">
        <f t="shared" si="4"/>
        <v/>
      </c>
      <c r="G26" s="80" t="str">
        <f t="shared" si="4"/>
        <v/>
      </c>
      <c r="H26" s="72" t="str">
        <f t="shared" si="4"/>
        <v/>
      </c>
      <c r="I26" s="80" t="str">
        <f t="shared" si="4"/>
        <v/>
      </c>
      <c r="J26" s="72" t="str">
        <f t="shared" si="4"/>
        <v/>
      </c>
      <c r="K26" s="80" t="str">
        <f t="shared" si="4"/>
        <v/>
      </c>
      <c r="L26" s="83" t="s">
        <v>2</v>
      </c>
      <c r="M26" s="70"/>
      <c r="N26" s="15"/>
      <c r="O26" s="68"/>
      <c r="P26" s="77"/>
      <c r="Q26" s="79"/>
      <c r="R26" s="102"/>
    </row>
    <row r="27" spans="1:21" ht="15.75" customHeight="1" x14ac:dyDescent="0.25">
      <c r="A27" s="19">
        <v>26</v>
      </c>
      <c r="B27" s="1"/>
      <c r="C27" s="26" t="str">
        <f t="shared" si="0"/>
        <v/>
      </c>
      <c r="D27" s="73"/>
      <c r="E27" s="81"/>
      <c r="F27" s="73"/>
      <c r="G27" s="81"/>
      <c r="H27" s="73"/>
      <c r="I27" s="81"/>
      <c r="J27" s="73"/>
      <c r="K27" s="81"/>
      <c r="L27" s="70"/>
      <c r="M27" s="70"/>
      <c r="N27" s="15"/>
      <c r="O27" s="86"/>
      <c r="P27" s="76" t="s">
        <v>3</v>
      </c>
      <c r="Q27" s="78"/>
      <c r="R27" s="97" t="str">
        <f>IF(Q27&gt;0, VLOOKUP(Q27, $A$2:$B$50, 2), "")</f>
        <v/>
      </c>
    </row>
    <row r="28" spans="1:21" ht="15.75" customHeight="1" x14ac:dyDescent="0.25">
      <c r="A28" s="20">
        <v>27</v>
      </c>
      <c r="B28" s="3"/>
      <c r="C28" s="26" t="str">
        <f t="shared" si="0"/>
        <v/>
      </c>
      <c r="D28" s="73"/>
      <c r="E28" s="81"/>
      <c r="F28" s="73"/>
      <c r="G28" s="81"/>
      <c r="H28" s="73"/>
      <c r="I28" s="81"/>
      <c r="J28" s="73"/>
      <c r="K28" s="81"/>
      <c r="L28" s="70"/>
      <c r="M28" s="70"/>
      <c r="N28" s="15"/>
      <c r="O28" s="141"/>
      <c r="P28" s="77"/>
      <c r="Q28" s="79"/>
      <c r="R28" s="102"/>
    </row>
    <row r="29" spans="1:21" ht="15.75" customHeight="1" x14ac:dyDescent="0.25">
      <c r="A29" s="20">
        <v>28</v>
      </c>
      <c r="B29" s="3"/>
      <c r="C29" s="26" t="str">
        <f t="shared" si="0"/>
        <v/>
      </c>
      <c r="D29" s="73"/>
      <c r="E29" s="81"/>
      <c r="F29" s="73"/>
      <c r="G29" s="81"/>
      <c r="H29" s="73"/>
      <c r="I29" s="81"/>
      <c r="J29" s="73"/>
      <c r="K29" s="81"/>
      <c r="L29" s="70"/>
      <c r="M29" s="70"/>
      <c r="N29" s="15"/>
      <c r="O29" s="67"/>
      <c r="P29" s="76" t="s">
        <v>3</v>
      </c>
      <c r="Q29" s="78"/>
      <c r="R29" s="97" t="str">
        <f>IF(Q29&gt;0, VLOOKUP(Q29, $A$2:$B$50, 2), "")</f>
        <v/>
      </c>
    </row>
    <row r="30" spans="1:21" ht="15.75" customHeight="1" thickBot="1" x14ac:dyDescent="0.3">
      <c r="A30" s="20">
        <v>29</v>
      </c>
      <c r="B30" s="3"/>
      <c r="C30" s="26" t="str">
        <f t="shared" si="0"/>
        <v/>
      </c>
      <c r="D30" s="74"/>
      <c r="E30" s="82"/>
      <c r="F30" s="74"/>
      <c r="G30" s="82"/>
      <c r="H30" s="74"/>
      <c r="I30" s="82"/>
      <c r="J30" s="74"/>
      <c r="K30" s="82"/>
      <c r="L30" s="71"/>
      <c r="M30" s="71"/>
      <c r="N30" s="15"/>
      <c r="O30" s="75"/>
      <c r="P30" s="77"/>
      <c r="Q30" s="79"/>
      <c r="R30" s="102"/>
    </row>
    <row r="31" spans="1:21" ht="15.75" customHeight="1" thickBot="1" x14ac:dyDescent="0.3">
      <c r="A31" s="21">
        <v>30</v>
      </c>
      <c r="B31" s="17"/>
      <c r="C31" s="26" t="str">
        <f t="shared" si="0"/>
        <v/>
      </c>
      <c r="D31" s="31"/>
      <c r="E31" s="30"/>
      <c r="F31" s="31"/>
      <c r="G31" s="29"/>
      <c r="H31" s="31"/>
      <c r="I31" s="30"/>
      <c r="J31" s="31"/>
      <c r="K31" s="30"/>
      <c r="L31" s="13" t="s">
        <v>1</v>
      </c>
      <c r="M31" s="69">
        <v>2</v>
      </c>
      <c r="N31" s="14"/>
      <c r="O31" s="86"/>
      <c r="P31" s="76" t="s">
        <v>3</v>
      </c>
      <c r="Q31" s="78"/>
      <c r="R31" s="97" t="str">
        <f>IF(Q31&gt;0, VLOOKUP(Q31, $A$2:$B$50, 2), "")</f>
        <v/>
      </c>
    </row>
    <row r="32" spans="1:21" ht="15.75" customHeight="1" x14ac:dyDescent="0.25">
      <c r="A32" s="19">
        <v>31</v>
      </c>
      <c r="B32" s="5"/>
      <c r="C32" s="26" t="str">
        <f t="shared" si="0"/>
        <v/>
      </c>
      <c r="D32" s="72" t="str">
        <f t="shared" ref="D32:K32" si="5">IF(AND(ISNUMBER(D31), D31&gt;0), VLOOKUP(D31, $A$2:$B$52, 2), "")</f>
        <v/>
      </c>
      <c r="E32" s="80" t="str">
        <f t="shared" si="5"/>
        <v/>
      </c>
      <c r="F32" s="72" t="str">
        <f t="shared" si="5"/>
        <v/>
      </c>
      <c r="G32" s="80" t="str">
        <f t="shared" si="5"/>
        <v/>
      </c>
      <c r="H32" s="72" t="str">
        <f t="shared" si="5"/>
        <v/>
      </c>
      <c r="I32" s="80" t="str">
        <f t="shared" si="5"/>
        <v/>
      </c>
      <c r="J32" s="72" t="str">
        <f t="shared" si="5"/>
        <v/>
      </c>
      <c r="K32" s="80" t="str">
        <f t="shared" si="5"/>
        <v/>
      </c>
      <c r="L32" s="83" t="s">
        <v>2</v>
      </c>
      <c r="M32" s="70"/>
      <c r="N32" s="15"/>
      <c r="O32" s="75"/>
      <c r="P32" s="77"/>
      <c r="Q32" s="79"/>
      <c r="R32" s="98"/>
      <c r="S32" s="10"/>
    </row>
    <row r="33" spans="1:22" ht="15.75" customHeight="1" x14ac:dyDescent="0.25">
      <c r="A33" s="20">
        <v>32</v>
      </c>
      <c r="B33" s="3"/>
      <c r="C33" s="26" t="str">
        <f t="shared" si="0"/>
        <v/>
      </c>
      <c r="D33" s="73"/>
      <c r="E33" s="81"/>
      <c r="F33" s="73"/>
      <c r="G33" s="81"/>
      <c r="H33" s="73"/>
      <c r="I33" s="81"/>
      <c r="J33" s="73"/>
      <c r="K33" s="81"/>
      <c r="L33" s="70"/>
      <c r="M33" s="70"/>
      <c r="N33" s="15"/>
      <c r="O33" s="86"/>
      <c r="P33" s="76" t="s">
        <v>3</v>
      </c>
      <c r="Q33" s="78"/>
      <c r="R33" s="97" t="str">
        <f>IF(Q33&gt;0, VLOOKUP(Q33, $A$2:$B$50, 2), "")</f>
        <v/>
      </c>
    </row>
    <row r="34" spans="1:22" ht="15.75" customHeight="1" x14ac:dyDescent="0.25">
      <c r="A34" s="20">
        <v>33</v>
      </c>
      <c r="B34" s="3"/>
      <c r="C34" s="26" t="str">
        <f t="shared" si="0"/>
        <v/>
      </c>
      <c r="D34" s="73"/>
      <c r="E34" s="81"/>
      <c r="F34" s="73"/>
      <c r="G34" s="81"/>
      <c r="H34" s="73"/>
      <c r="I34" s="81"/>
      <c r="J34" s="73"/>
      <c r="K34" s="81"/>
      <c r="L34" s="70"/>
      <c r="M34" s="70"/>
      <c r="N34" s="15"/>
      <c r="O34" s="99"/>
      <c r="P34" s="77"/>
      <c r="Q34" s="96"/>
      <c r="R34" s="98"/>
    </row>
    <row r="35" spans="1:22" ht="15.75" customHeight="1" x14ac:dyDescent="0.25">
      <c r="A35" s="20">
        <v>34</v>
      </c>
      <c r="B35" s="3"/>
      <c r="C35" s="26" t="str">
        <f t="shared" si="0"/>
        <v/>
      </c>
      <c r="D35" s="73"/>
      <c r="E35" s="81"/>
      <c r="F35" s="73"/>
      <c r="G35" s="81"/>
      <c r="H35" s="73"/>
      <c r="I35" s="81"/>
      <c r="J35" s="73"/>
      <c r="K35" s="81"/>
      <c r="L35" s="70"/>
      <c r="M35" s="70"/>
      <c r="N35" s="15"/>
      <c r="O35" s="67"/>
      <c r="P35" s="101" t="s">
        <v>3</v>
      </c>
      <c r="Q35" s="126"/>
      <c r="R35" s="128" t="str">
        <f>IF(Q35&gt;0, VLOOKUP(Q35, $A$2:$B$50, 2), "")</f>
        <v/>
      </c>
      <c r="S35" s="10"/>
      <c r="T35" s="10"/>
      <c r="U35" s="10"/>
      <c r="V35" s="10"/>
    </row>
    <row r="36" spans="1:22" ht="15.75" customHeight="1" thickBot="1" x14ac:dyDescent="0.3">
      <c r="A36" s="21">
        <v>35</v>
      </c>
      <c r="B36" s="17"/>
      <c r="C36" s="26" t="str">
        <f t="shared" si="0"/>
        <v/>
      </c>
      <c r="D36" s="74"/>
      <c r="E36" s="82"/>
      <c r="F36" s="74"/>
      <c r="G36" s="82"/>
      <c r="H36" s="74"/>
      <c r="I36" s="82"/>
      <c r="J36" s="74"/>
      <c r="K36" s="82"/>
      <c r="L36" s="71"/>
      <c r="M36" s="71"/>
      <c r="N36" s="15"/>
      <c r="O36" s="124"/>
      <c r="P36" s="125"/>
      <c r="Q36" s="127"/>
      <c r="R36" s="129"/>
      <c r="S36" s="10"/>
      <c r="T36" s="10"/>
      <c r="U36" s="10"/>
      <c r="V36" s="10"/>
    </row>
    <row r="37" spans="1:22" ht="15.75" customHeight="1" thickBot="1" x14ac:dyDescent="0.3">
      <c r="A37" s="19">
        <v>36</v>
      </c>
      <c r="B37" s="2"/>
      <c r="C37" s="26" t="str">
        <f t="shared" si="0"/>
        <v/>
      </c>
      <c r="D37" s="31"/>
      <c r="E37" s="30"/>
      <c r="F37" s="31"/>
      <c r="G37" s="30"/>
      <c r="H37" s="31"/>
      <c r="I37" s="30"/>
      <c r="J37" s="31"/>
      <c r="K37" s="30"/>
      <c r="L37" s="13" t="s">
        <v>1</v>
      </c>
      <c r="M37" s="69">
        <v>1</v>
      </c>
      <c r="N37" s="14"/>
      <c r="S37" s="10"/>
      <c r="T37" s="10"/>
      <c r="U37" s="10"/>
      <c r="V37" s="10"/>
    </row>
    <row r="38" spans="1:22" ht="15.75" customHeight="1" x14ac:dyDescent="0.25">
      <c r="A38" s="20">
        <v>37</v>
      </c>
      <c r="B38" s="3"/>
      <c r="C38" s="26" t="str">
        <f t="shared" si="0"/>
        <v/>
      </c>
      <c r="D38" s="72" t="str">
        <f t="shared" ref="D38:K38" si="6">IF(AND(ISNUMBER(D37), D37&gt;0), VLOOKUP(D37, $A$2:$B$52, 2), "")</f>
        <v/>
      </c>
      <c r="E38" s="80" t="str">
        <f t="shared" si="6"/>
        <v/>
      </c>
      <c r="F38" s="72" t="str">
        <f t="shared" si="6"/>
        <v/>
      </c>
      <c r="G38" s="80" t="str">
        <f t="shared" si="6"/>
        <v/>
      </c>
      <c r="H38" s="72" t="str">
        <f t="shared" si="6"/>
        <v/>
      </c>
      <c r="I38" s="80" t="str">
        <f t="shared" si="6"/>
        <v/>
      </c>
      <c r="J38" s="72" t="str">
        <f t="shared" si="6"/>
        <v/>
      </c>
      <c r="K38" s="80" t="str">
        <f t="shared" si="6"/>
        <v/>
      </c>
      <c r="L38" s="83" t="s">
        <v>2</v>
      </c>
      <c r="M38" s="70"/>
      <c r="N38" s="15"/>
      <c r="S38" s="10"/>
      <c r="T38" s="10"/>
      <c r="U38" s="10"/>
      <c r="V38" s="10"/>
    </row>
    <row r="39" spans="1:22" ht="15.75" customHeight="1" x14ac:dyDescent="0.25">
      <c r="A39" s="20">
        <v>38</v>
      </c>
      <c r="B39" s="3"/>
      <c r="C39" s="26" t="str">
        <f t="shared" si="0"/>
        <v/>
      </c>
      <c r="D39" s="73"/>
      <c r="E39" s="81"/>
      <c r="F39" s="73"/>
      <c r="G39" s="81"/>
      <c r="H39" s="73"/>
      <c r="I39" s="81"/>
      <c r="J39" s="73"/>
      <c r="K39" s="81"/>
      <c r="L39" s="70"/>
      <c r="M39" s="70"/>
      <c r="N39" s="15"/>
      <c r="S39" s="10"/>
      <c r="T39" s="10"/>
      <c r="U39" s="10"/>
      <c r="V39" s="10"/>
    </row>
    <row r="40" spans="1:22" ht="15.75" customHeight="1" x14ac:dyDescent="0.25">
      <c r="A40" s="20">
        <v>39</v>
      </c>
      <c r="B40" s="6"/>
      <c r="C40" s="26" t="str">
        <f t="shared" si="0"/>
        <v/>
      </c>
      <c r="D40" s="73"/>
      <c r="E40" s="81"/>
      <c r="F40" s="73"/>
      <c r="G40" s="81"/>
      <c r="H40" s="73"/>
      <c r="I40" s="81"/>
      <c r="J40" s="73"/>
      <c r="K40" s="81"/>
      <c r="L40" s="70"/>
      <c r="M40" s="70"/>
      <c r="N40" s="15"/>
      <c r="S40" s="10"/>
      <c r="T40" s="10"/>
      <c r="U40" s="10"/>
      <c r="V40" s="10"/>
    </row>
    <row r="41" spans="1:22" ht="15.75" customHeight="1" thickBot="1" x14ac:dyDescent="0.3">
      <c r="A41" s="21">
        <v>40</v>
      </c>
      <c r="B41" s="17"/>
      <c r="C41" s="26" t="str">
        <f t="shared" si="0"/>
        <v/>
      </c>
      <c r="D41" s="73"/>
      <c r="E41" s="81"/>
      <c r="F41" s="73"/>
      <c r="G41" s="81"/>
      <c r="H41" s="73"/>
      <c r="I41" s="81"/>
      <c r="J41" s="73"/>
      <c r="K41" s="81"/>
      <c r="L41" s="70"/>
      <c r="M41" s="70"/>
      <c r="N41" s="15"/>
      <c r="S41" s="10"/>
      <c r="T41" s="10"/>
      <c r="U41" s="10"/>
      <c r="V41" s="10"/>
    </row>
    <row r="42" spans="1:22" ht="15.75" customHeight="1" thickBot="1" x14ac:dyDescent="0.3">
      <c r="A42" s="19">
        <v>41</v>
      </c>
      <c r="B42" s="5"/>
      <c r="C42" s="26" t="str">
        <f t="shared" si="0"/>
        <v/>
      </c>
      <c r="D42" s="74"/>
      <c r="E42" s="82"/>
      <c r="F42" s="74"/>
      <c r="G42" s="82"/>
      <c r="H42" s="74"/>
      <c r="I42" s="82"/>
      <c r="J42" s="74"/>
      <c r="K42" s="82"/>
      <c r="L42" s="71"/>
      <c r="M42" s="71"/>
      <c r="N42" s="15"/>
      <c r="S42" s="10"/>
      <c r="T42" s="10"/>
      <c r="U42" s="10"/>
      <c r="V42" s="10"/>
    </row>
    <row r="43" spans="1:22" ht="15.75" customHeight="1" x14ac:dyDescent="0.25">
      <c r="A43" s="20">
        <v>42</v>
      </c>
      <c r="B43" s="3"/>
      <c r="C43" s="26" t="str">
        <f t="shared" si="0"/>
        <v/>
      </c>
      <c r="D43" s="8" t="s">
        <v>9</v>
      </c>
      <c r="E43" s="8" t="s">
        <v>21</v>
      </c>
      <c r="F43" s="9" t="s">
        <v>22</v>
      </c>
      <c r="G43" s="9" t="s">
        <v>23</v>
      </c>
      <c r="H43" s="9" t="s">
        <v>24</v>
      </c>
      <c r="I43" s="9" t="s">
        <v>25</v>
      </c>
      <c r="J43" s="9" t="s">
        <v>26</v>
      </c>
      <c r="K43" s="9" t="s">
        <v>27</v>
      </c>
      <c r="S43" s="10"/>
      <c r="T43" s="10"/>
      <c r="U43" s="10"/>
      <c r="V43" s="10"/>
    </row>
    <row r="44" spans="1:22" ht="15.75" customHeight="1" thickBot="1" x14ac:dyDescent="0.3">
      <c r="A44" s="20">
        <v>43</v>
      </c>
      <c r="B44" s="3"/>
      <c r="C44" s="26" t="str">
        <f t="shared" si="0"/>
        <v/>
      </c>
      <c r="S44" s="10"/>
      <c r="T44" s="10"/>
      <c r="U44" s="10"/>
      <c r="V44" s="10"/>
    </row>
    <row r="45" spans="1:22" ht="15.75" customHeight="1" thickTop="1" thickBot="1" x14ac:dyDescent="0.3">
      <c r="A45" s="20">
        <v>44</v>
      </c>
      <c r="B45" s="3"/>
      <c r="C45" s="26" t="str">
        <f t="shared" si="0"/>
        <v/>
      </c>
      <c r="D45" s="65" t="s">
        <v>6</v>
      </c>
      <c r="E45" s="66"/>
      <c r="S45" s="10"/>
      <c r="T45" s="10"/>
      <c r="U45" s="10"/>
      <c r="V45" s="10"/>
    </row>
    <row r="46" spans="1:22" ht="15.75" customHeight="1" thickTop="1" thickBot="1" x14ac:dyDescent="0.3">
      <c r="A46" s="24">
        <v>45</v>
      </c>
      <c r="B46" s="25"/>
      <c r="C46" s="26" t="str">
        <f t="shared" si="0"/>
        <v/>
      </c>
      <c r="R46" s="10"/>
      <c r="S46" s="10"/>
      <c r="T46" s="10"/>
      <c r="U46" s="10"/>
      <c r="V46" s="10"/>
    </row>
    <row r="47" spans="1:22" ht="15.75" customHeight="1" thickTop="1" x14ac:dyDescent="0.25">
      <c r="A47" s="22"/>
      <c r="B47" s="23"/>
      <c r="C47" s="26" t="str">
        <f t="shared" si="0"/>
        <v/>
      </c>
      <c r="D47" s="112" t="s">
        <v>14</v>
      </c>
      <c r="E47" s="113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140"/>
      <c r="R47" s="10"/>
    </row>
    <row r="48" spans="1:22" ht="15.75" customHeight="1" thickBot="1" x14ac:dyDescent="0.3">
      <c r="A48" s="22"/>
      <c r="B48" s="23"/>
      <c r="C48" s="26" t="str">
        <f t="shared" si="0"/>
        <v/>
      </c>
      <c r="D48" s="114"/>
      <c r="E48" s="115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140"/>
      <c r="R48" s="10"/>
    </row>
    <row r="49" spans="1:18" ht="15" customHeight="1" x14ac:dyDescent="0.25">
      <c r="A49" s="18"/>
      <c r="D49" s="116" t="s">
        <v>11</v>
      </c>
      <c r="E49" s="117" t="s">
        <v>12</v>
      </c>
      <c r="F49" s="119" t="s">
        <v>13</v>
      </c>
      <c r="G49" s="120"/>
      <c r="H49" s="121" t="s">
        <v>11</v>
      </c>
      <c r="I49" s="117" t="s">
        <v>12</v>
      </c>
      <c r="J49" s="119" t="s">
        <v>13</v>
      </c>
      <c r="K49" s="120"/>
      <c r="L49" s="122" t="s">
        <v>11</v>
      </c>
      <c r="M49" s="123"/>
      <c r="N49" s="117" t="s">
        <v>12</v>
      </c>
      <c r="O49" s="63" t="s">
        <v>13</v>
      </c>
      <c r="P49" s="64"/>
      <c r="R49" s="10"/>
    </row>
    <row r="50" spans="1:18" ht="15" customHeight="1" thickBot="1" x14ac:dyDescent="0.3">
      <c r="A50" s="18"/>
      <c r="D50" s="44"/>
      <c r="E50" s="118"/>
      <c r="F50" s="49"/>
      <c r="G50" s="50"/>
      <c r="H50" s="52"/>
      <c r="I50" s="118"/>
      <c r="J50" s="49"/>
      <c r="K50" s="50"/>
      <c r="L50" s="55"/>
      <c r="M50" s="56"/>
      <c r="N50" s="118"/>
      <c r="O50" s="59"/>
      <c r="P50" s="60"/>
      <c r="R50" s="10"/>
    </row>
    <row r="51" spans="1:18" ht="15" customHeight="1" x14ac:dyDescent="0.25">
      <c r="D51" s="131" t="s">
        <v>18</v>
      </c>
      <c r="E51" s="132"/>
      <c r="F51" s="133" t="str">
        <f>IF(E51&gt;0, VLOOKUP(E51, $A$2:$B$55, 2), "")</f>
        <v/>
      </c>
      <c r="G51" s="134"/>
      <c r="H51" s="51"/>
      <c r="I51" s="132"/>
      <c r="J51" s="133" t="str">
        <f>IF(I51&gt;0, VLOOKUP(I51, $A$2:$B$55, 2), "")</f>
        <v/>
      </c>
      <c r="K51" s="134"/>
      <c r="L51" s="122"/>
      <c r="M51" s="123"/>
      <c r="N51" s="132"/>
      <c r="O51" s="63" t="str">
        <f>IF(N51&gt;0, VLOOKUP(N51, $A$2:$B$55, 2), "")</f>
        <v/>
      </c>
      <c r="P51" s="64"/>
      <c r="R51" s="10"/>
    </row>
    <row r="52" spans="1:18" ht="15" customHeight="1" x14ac:dyDescent="0.25">
      <c r="D52" s="43"/>
      <c r="E52" s="45"/>
      <c r="F52" s="47"/>
      <c r="G52" s="48"/>
      <c r="H52" s="51"/>
      <c r="I52" s="45"/>
      <c r="J52" s="47"/>
      <c r="K52" s="48"/>
      <c r="L52" s="135"/>
      <c r="M52" s="136"/>
      <c r="N52" s="45"/>
      <c r="O52" s="137"/>
      <c r="P52" s="138"/>
      <c r="R52" s="10"/>
    </row>
    <row r="53" spans="1:18" ht="15" customHeight="1" x14ac:dyDescent="0.25">
      <c r="D53" s="43" t="s">
        <v>19</v>
      </c>
      <c r="E53" s="45"/>
      <c r="F53" s="47" t="str">
        <f>IF(E53&gt;0, VLOOKUP(E53, $A$2:$B$55, 2), "")</f>
        <v/>
      </c>
      <c r="G53" s="48"/>
      <c r="H53" s="51"/>
      <c r="I53" s="45"/>
      <c r="J53" s="47" t="str">
        <f>IF(I53&gt;0, VLOOKUP(I53, $A$2:$B$55, 2), "")</f>
        <v/>
      </c>
      <c r="K53" s="48"/>
      <c r="L53" s="53"/>
      <c r="M53" s="54"/>
      <c r="N53" s="45"/>
      <c r="O53" s="57" t="str">
        <f>IF(N53&gt;0, VLOOKUP(N53, $A$2:$B$55, 2), "")</f>
        <v/>
      </c>
      <c r="P53" s="58"/>
      <c r="R53" s="10"/>
    </row>
    <row r="54" spans="1:18" ht="15" customHeight="1" x14ac:dyDescent="0.25">
      <c r="D54" s="43"/>
      <c r="E54" s="45"/>
      <c r="F54" s="47"/>
      <c r="G54" s="48"/>
      <c r="H54" s="51"/>
      <c r="I54" s="45"/>
      <c r="J54" s="47"/>
      <c r="K54" s="48"/>
      <c r="L54" s="135"/>
      <c r="M54" s="136"/>
      <c r="N54" s="45"/>
      <c r="O54" s="137"/>
      <c r="P54" s="138"/>
      <c r="R54" s="10"/>
    </row>
    <row r="55" spans="1:18" ht="15" customHeight="1" x14ac:dyDescent="0.25">
      <c r="D55" s="43" t="s">
        <v>20</v>
      </c>
      <c r="E55" s="45"/>
      <c r="F55" s="47" t="str">
        <f t="shared" ref="F55" si="7">IF(E55&gt;0, VLOOKUP(E55, $A$2:$B$55, 2), "")</f>
        <v/>
      </c>
      <c r="G55" s="48"/>
      <c r="H55" s="51"/>
      <c r="I55" s="45"/>
      <c r="J55" s="47" t="str">
        <f t="shared" ref="J55" si="8">IF(I55&gt;0, VLOOKUP(I55, $A$2:$B$55, 2), "")</f>
        <v/>
      </c>
      <c r="K55" s="48"/>
      <c r="L55" s="53"/>
      <c r="M55" s="54"/>
      <c r="N55" s="45"/>
      <c r="O55" s="57" t="str">
        <f t="shared" ref="O55" si="9">IF(N55&gt;0, VLOOKUP(N55, $A$2:$B$55, 2), "")</f>
        <v/>
      </c>
      <c r="P55" s="58"/>
      <c r="R55" s="10"/>
    </row>
    <row r="56" spans="1:18" ht="15" customHeight="1" x14ac:dyDescent="0.25">
      <c r="D56" s="43"/>
      <c r="E56" s="45"/>
      <c r="F56" s="47"/>
      <c r="G56" s="48"/>
      <c r="H56" s="54"/>
      <c r="I56" s="45"/>
      <c r="J56" s="47"/>
      <c r="K56" s="48"/>
      <c r="L56" s="135"/>
      <c r="M56" s="136"/>
      <c r="N56" s="45"/>
      <c r="O56" s="137"/>
      <c r="P56" s="138"/>
      <c r="R56" s="10"/>
    </row>
    <row r="57" spans="1:18" ht="15" customHeight="1" x14ac:dyDescent="0.25">
      <c r="D57" s="43"/>
      <c r="E57" s="45"/>
      <c r="F57" s="47" t="str">
        <f t="shared" ref="F57" si="10">IF(E57&gt;0, VLOOKUP(E57, $A$2:$B$55, 2), "")</f>
        <v/>
      </c>
      <c r="G57" s="48"/>
      <c r="H57" s="51"/>
      <c r="I57" s="45"/>
      <c r="J57" s="47" t="str">
        <f t="shared" ref="J57" si="11">IF(I57&gt;0, VLOOKUP(I57, $A$2:$B$55, 2), "")</f>
        <v/>
      </c>
      <c r="K57" s="48"/>
      <c r="L57" s="53"/>
      <c r="M57" s="54"/>
      <c r="N57" s="45"/>
      <c r="O57" s="57" t="str">
        <f t="shared" ref="O57" si="12">IF(N57&gt;0, VLOOKUP(N57, $A$2:$B$55, 2), "")</f>
        <v/>
      </c>
      <c r="P57" s="58"/>
      <c r="R57" s="10"/>
    </row>
    <row r="58" spans="1:18" ht="15" customHeight="1" x14ac:dyDescent="0.25">
      <c r="D58" s="43"/>
      <c r="E58" s="45"/>
      <c r="F58" s="47"/>
      <c r="G58" s="48"/>
      <c r="H58" s="51"/>
      <c r="I58" s="45"/>
      <c r="J58" s="47"/>
      <c r="K58" s="48"/>
      <c r="L58" s="135"/>
      <c r="M58" s="136"/>
      <c r="N58" s="45"/>
      <c r="O58" s="137"/>
      <c r="P58" s="138"/>
    </row>
    <row r="59" spans="1:18" ht="15" customHeight="1" x14ac:dyDescent="0.25">
      <c r="D59" s="43"/>
      <c r="E59" s="45"/>
      <c r="F59" s="47" t="str">
        <f t="shared" ref="F59" si="13">IF(E59&gt;0, VLOOKUP(E59, $A$2:$B$55, 2), "")</f>
        <v/>
      </c>
      <c r="G59" s="48"/>
      <c r="H59" s="144"/>
      <c r="I59" s="45"/>
      <c r="J59" s="47" t="str">
        <f t="shared" ref="J59" si="14">IF(I59&gt;0, VLOOKUP(I59, $A$2:$B$55, 2), "")</f>
        <v/>
      </c>
      <c r="K59" s="48"/>
      <c r="L59" s="53"/>
      <c r="M59" s="54"/>
      <c r="N59" s="45"/>
      <c r="O59" s="57" t="str">
        <f t="shared" ref="O59" si="15">IF(N59&gt;0, VLOOKUP(N59, $A$2:$B$55, 2), "")</f>
        <v/>
      </c>
      <c r="P59" s="58"/>
    </row>
    <row r="60" spans="1:18" ht="15" customHeight="1" x14ac:dyDescent="0.25">
      <c r="D60" s="144"/>
      <c r="E60" s="145"/>
      <c r="F60" s="146"/>
      <c r="G60" s="147"/>
      <c r="H60" s="131"/>
      <c r="I60" s="145"/>
      <c r="J60" s="146"/>
      <c r="K60" s="147"/>
      <c r="L60" s="148"/>
      <c r="M60" s="149"/>
      <c r="N60" s="145"/>
      <c r="O60" s="150"/>
      <c r="P60" s="151"/>
    </row>
    <row r="61" spans="1:18" ht="15" customHeight="1" x14ac:dyDescent="0.25">
      <c r="D61" s="43"/>
      <c r="E61" s="45"/>
      <c r="F61" s="47" t="str">
        <f t="shared" ref="F61" si="16">IF(E61&gt;0, VLOOKUP(E61, $A$2:$B$55, 2), "")</f>
        <v/>
      </c>
      <c r="G61" s="48"/>
      <c r="H61" s="51"/>
      <c r="I61" s="45"/>
      <c r="J61" s="47" t="str">
        <f t="shared" ref="J61" si="17">IF(I61&gt;0, VLOOKUP(I61, $A$2:$B$55, 2), "")</f>
        <v/>
      </c>
      <c r="K61" s="48"/>
      <c r="L61" s="53"/>
      <c r="M61" s="54"/>
      <c r="N61" s="45"/>
      <c r="O61" s="57" t="str">
        <f t="shared" ref="O61" si="18">IF(N61&gt;0, VLOOKUP(N61, $A$2:$B$55, 2), "")</f>
        <v/>
      </c>
      <c r="P61" s="58"/>
    </row>
    <row r="62" spans="1:18" ht="15" customHeight="1" thickBot="1" x14ac:dyDescent="0.3">
      <c r="D62" s="44"/>
      <c r="E62" s="46"/>
      <c r="F62" s="49"/>
      <c r="G62" s="50"/>
      <c r="H62" s="52"/>
      <c r="I62" s="46"/>
      <c r="J62" s="49"/>
      <c r="K62" s="50"/>
      <c r="L62" s="55"/>
      <c r="M62" s="56"/>
      <c r="N62" s="46"/>
      <c r="O62" s="59"/>
      <c r="P62" s="60"/>
    </row>
    <row r="69" spans="4:11" ht="15" customHeight="1" x14ac:dyDescent="0.25">
      <c r="D69" s="40" t="s">
        <v>40</v>
      </c>
      <c r="E69" s="41"/>
      <c r="F69" s="41"/>
      <c r="G69" s="41"/>
      <c r="H69" s="41"/>
      <c r="I69" s="41"/>
      <c r="J69" s="41"/>
      <c r="K69" s="41"/>
    </row>
    <row r="70" spans="4:11" ht="15" customHeight="1" thickBot="1" x14ac:dyDescent="0.3">
      <c r="D70" s="42"/>
      <c r="E70" s="42"/>
      <c r="F70" s="42"/>
      <c r="G70" s="42"/>
      <c r="H70" s="42"/>
      <c r="I70" s="42"/>
      <c r="J70" s="42"/>
      <c r="K70" s="42"/>
    </row>
    <row r="71" spans="4:11" ht="15" customHeight="1" x14ac:dyDescent="0.25">
      <c r="D71" s="32"/>
      <c r="E71" s="33"/>
      <c r="F71" s="33"/>
      <c r="G71" s="33"/>
      <c r="H71" s="33"/>
      <c r="I71" s="33"/>
      <c r="J71" s="33"/>
      <c r="K71" s="34"/>
    </row>
    <row r="72" spans="4:11" ht="15" customHeight="1" x14ac:dyDescent="0.25">
      <c r="D72" s="35"/>
      <c r="E72" s="10"/>
      <c r="F72" s="10"/>
      <c r="G72" s="10"/>
      <c r="H72" s="10"/>
      <c r="I72" s="10"/>
      <c r="J72" s="10"/>
      <c r="K72" s="36"/>
    </row>
    <row r="73" spans="4:11" ht="15" customHeight="1" x14ac:dyDescent="0.25">
      <c r="D73" s="35"/>
      <c r="E73" s="10"/>
      <c r="F73" s="10"/>
      <c r="G73" s="10"/>
      <c r="H73" s="10"/>
      <c r="I73" s="10"/>
      <c r="J73" s="10"/>
      <c r="K73" s="36"/>
    </row>
    <row r="74" spans="4:11" ht="15" customHeight="1" x14ac:dyDescent="0.25">
      <c r="D74" s="35"/>
      <c r="E74" s="10"/>
      <c r="F74" s="10"/>
      <c r="G74" s="10"/>
      <c r="H74" s="10"/>
      <c r="I74" s="10"/>
      <c r="J74" s="10"/>
      <c r="K74" s="36"/>
    </row>
    <row r="75" spans="4:11" ht="15" customHeight="1" x14ac:dyDescent="0.25">
      <c r="D75" s="35"/>
      <c r="E75" s="10"/>
      <c r="F75" s="10"/>
      <c r="G75" s="10"/>
      <c r="H75" s="10"/>
      <c r="I75" s="10"/>
      <c r="J75" s="10"/>
      <c r="K75" s="36"/>
    </row>
    <row r="76" spans="4:11" ht="15" customHeight="1" thickBot="1" x14ac:dyDescent="0.3">
      <c r="D76" s="37"/>
      <c r="E76" s="38"/>
      <c r="F76" s="38"/>
      <c r="G76" s="38"/>
      <c r="H76" s="38"/>
      <c r="I76" s="38"/>
      <c r="J76" s="38"/>
      <c r="K76" s="39"/>
    </row>
    <row r="80" spans="4:11" ht="15" customHeight="1" thickBot="1" x14ac:dyDescent="0.3"/>
    <row r="81" spans="4:11" ht="15" customHeight="1" x14ac:dyDescent="0.25">
      <c r="D81" s="32"/>
      <c r="E81" s="33"/>
      <c r="F81" s="33"/>
      <c r="G81" s="33"/>
      <c r="H81" s="33"/>
      <c r="I81" s="33"/>
      <c r="J81" s="33"/>
      <c r="K81" s="34"/>
    </row>
    <row r="82" spans="4:11" ht="15" customHeight="1" x14ac:dyDescent="0.25">
      <c r="D82" s="35"/>
      <c r="E82" s="10"/>
      <c r="F82" s="10"/>
      <c r="G82" s="10"/>
      <c r="H82" s="10"/>
      <c r="I82" s="10"/>
      <c r="J82" s="10"/>
      <c r="K82" s="36"/>
    </row>
    <row r="83" spans="4:11" ht="15" customHeight="1" x14ac:dyDescent="0.25">
      <c r="D83" s="35"/>
      <c r="E83" s="10"/>
      <c r="F83" s="10"/>
      <c r="G83" s="10"/>
      <c r="H83" s="10"/>
      <c r="I83" s="10"/>
      <c r="J83" s="10"/>
      <c r="K83" s="36"/>
    </row>
    <row r="84" spans="4:11" ht="15" customHeight="1" x14ac:dyDescent="0.25">
      <c r="D84" s="35"/>
      <c r="E84" s="10"/>
      <c r="F84" s="10"/>
      <c r="G84" s="10"/>
      <c r="H84" s="10"/>
      <c r="I84" s="10"/>
      <c r="J84" s="10"/>
      <c r="K84" s="36"/>
    </row>
    <row r="85" spans="4:11" ht="15" customHeight="1" x14ac:dyDescent="0.25">
      <c r="D85" s="35"/>
      <c r="E85" s="10"/>
      <c r="F85" s="10"/>
      <c r="G85" s="10"/>
      <c r="H85" s="10"/>
      <c r="I85" s="10"/>
      <c r="J85" s="10"/>
      <c r="K85" s="36"/>
    </row>
    <row r="86" spans="4:11" ht="15" customHeight="1" thickBot="1" x14ac:dyDescent="0.3">
      <c r="D86" s="37"/>
      <c r="E86" s="38"/>
      <c r="F86" s="38"/>
      <c r="G86" s="38"/>
      <c r="H86" s="38"/>
      <c r="I86" s="38"/>
      <c r="J86" s="38"/>
      <c r="K86" s="39"/>
    </row>
    <row r="87" spans="4:11" ht="15" customHeight="1" x14ac:dyDescent="0.25">
      <c r="D87" s="11"/>
      <c r="E87" s="11"/>
      <c r="F87" s="11"/>
      <c r="G87" s="11"/>
      <c r="H87" s="11"/>
      <c r="I87" s="11"/>
      <c r="J87" s="11"/>
      <c r="K87" s="11"/>
    </row>
    <row r="88" spans="4:11" ht="15" customHeight="1" x14ac:dyDescent="0.25">
      <c r="D88" s="11"/>
      <c r="E88" s="11"/>
      <c r="F88" s="11"/>
      <c r="G88" s="11"/>
      <c r="H88" s="11"/>
      <c r="I88" s="11"/>
      <c r="J88" s="11"/>
      <c r="K88" s="11"/>
    </row>
    <row r="89" spans="4:11" ht="15" customHeight="1" x14ac:dyDescent="0.25">
      <c r="D89" s="11"/>
      <c r="E89" s="11"/>
      <c r="F89" s="11"/>
      <c r="G89" s="11"/>
      <c r="H89" s="11"/>
      <c r="I89" s="11"/>
      <c r="J89" s="11"/>
      <c r="K89" s="11"/>
    </row>
    <row r="90" spans="4:11" ht="15" customHeight="1" thickBot="1" x14ac:dyDescent="0.3">
      <c r="D90" s="11"/>
      <c r="E90" s="11"/>
      <c r="F90" s="11"/>
      <c r="G90" s="11"/>
      <c r="H90" s="11"/>
      <c r="I90" s="11"/>
      <c r="J90" s="11"/>
      <c r="K90" s="11"/>
    </row>
    <row r="91" spans="4:11" ht="15" customHeight="1" x14ac:dyDescent="0.25">
      <c r="D91" s="32"/>
      <c r="E91" s="33"/>
      <c r="F91" s="33"/>
      <c r="G91" s="33"/>
      <c r="H91" s="33"/>
      <c r="I91" s="33"/>
      <c r="J91" s="33"/>
      <c r="K91" s="34"/>
    </row>
    <row r="92" spans="4:11" ht="15" customHeight="1" x14ac:dyDescent="0.25">
      <c r="D92" s="35"/>
      <c r="E92" s="10"/>
      <c r="F92" s="10"/>
      <c r="G92" s="10"/>
      <c r="H92" s="10"/>
      <c r="I92" s="10"/>
      <c r="J92" s="10"/>
      <c r="K92" s="36"/>
    </row>
    <row r="93" spans="4:11" ht="15" customHeight="1" x14ac:dyDescent="0.25">
      <c r="D93" s="35"/>
      <c r="E93" s="10"/>
      <c r="F93" s="10"/>
      <c r="G93" s="10"/>
      <c r="H93" s="10"/>
      <c r="I93" s="10"/>
      <c r="J93" s="10"/>
      <c r="K93" s="36"/>
    </row>
    <row r="94" spans="4:11" ht="15" customHeight="1" x14ac:dyDescent="0.25">
      <c r="D94" s="35"/>
      <c r="E94" s="10"/>
      <c r="F94" s="10"/>
      <c r="G94" s="10"/>
      <c r="H94" s="10"/>
      <c r="I94" s="10"/>
      <c r="J94" s="10"/>
      <c r="K94" s="36"/>
    </row>
    <row r="95" spans="4:11" ht="15" customHeight="1" x14ac:dyDescent="0.25">
      <c r="D95" s="35"/>
      <c r="E95" s="10"/>
      <c r="F95" s="10"/>
      <c r="G95" s="10"/>
      <c r="H95" s="10"/>
      <c r="I95" s="10"/>
      <c r="J95" s="10"/>
      <c r="K95" s="36"/>
    </row>
    <row r="96" spans="4:11" ht="15" customHeight="1" thickBot="1" x14ac:dyDescent="0.3">
      <c r="D96" s="37"/>
      <c r="E96" s="38"/>
      <c r="F96" s="38"/>
      <c r="G96" s="38"/>
      <c r="H96" s="38"/>
      <c r="I96" s="38"/>
      <c r="J96" s="38"/>
      <c r="K96" s="39"/>
    </row>
    <row r="97" spans="4:11" ht="15" customHeight="1" x14ac:dyDescent="0.25">
      <c r="D97" s="11"/>
      <c r="E97" s="11"/>
      <c r="F97" s="11"/>
      <c r="G97" s="11"/>
      <c r="H97" s="11"/>
      <c r="I97" s="11"/>
      <c r="J97" s="11"/>
      <c r="K97" s="11"/>
    </row>
    <row r="98" spans="4:11" ht="15" customHeight="1" x14ac:dyDescent="0.25">
      <c r="D98" s="11"/>
      <c r="E98" s="11"/>
      <c r="F98" s="11"/>
      <c r="G98" s="11"/>
      <c r="H98" s="11"/>
      <c r="I98" s="11"/>
      <c r="J98" s="11"/>
      <c r="K98" s="11"/>
    </row>
    <row r="99" spans="4:11" ht="15" customHeight="1" x14ac:dyDescent="0.25">
      <c r="D99" s="11"/>
      <c r="E99" s="11"/>
      <c r="F99" s="11"/>
      <c r="G99" s="11"/>
      <c r="H99" s="11"/>
      <c r="I99" s="11"/>
      <c r="J99" s="11"/>
      <c r="K99" s="11"/>
    </row>
    <row r="100" spans="4:11" ht="15" customHeight="1" thickBot="1" x14ac:dyDescent="0.3">
      <c r="D100" s="11"/>
      <c r="E100" s="11"/>
      <c r="F100" s="11"/>
      <c r="G100" s="11"/>
      <c r="H100" s="11"/>
      <c r="I100" s="11"/>
      <c r="J100" s="11"/>
      <c r="K100" s="11"/>
    </row>
    <row r="101" spans="4:11" ht="15" customHeight="1" x14ac:dyDescent="0.25">
      <c r="D101" s="32"/>
      <c r="E101" s="33"/>
      <c r="F101" s="33"/>
      <c r="G101" s="33"/>
      <c r="H101" s="33"/>
      <c r="I101" s="33"/>
      <c r="J101" s="33"/>
      <c r="K101" s="34"/>
    </row>
    <row r="102" spans="4:11" ht="15" customHeight="1" x14ac:dyDescent="0.25">
      <c r="D102" s="35"/>
      <c r="E102" s="10"/>
      <c r="F102" s="10"/>
      <c r="G102" s="10"/>
      <c r="H102" s="10"/>
      <c r="I102" s="10"/>
      <c r="J102" s="10"/>
      <c r="K102" s="36"/>
    </row>
    <row r="103" spans="4:11" ht="15" customHeight="1" x14ac:dyDescent="0.25">
      <c r="D103" s="35"/>
      <c r="E103" s="10"/>
      <c r="F103" s="10"/>
      <c r="G103" s="10"/>
      <c r="H103" s="10"/>
      <c r="I103" s="10"/>
      <c r="J103" s="10"/>
      <c r="K103" s="36"/>
    </row>
    <row r="104" spans="4:11" ht="15" customHeight="1" x14ac:dyDescent="0.25">
      <c r="D104" s="35"/>
      <c r="E104" s="10"/>
      <c r="F104" s="10"/>
      <c r="G104" s="10"/>
      <c r="H104" s="10"/>
      <c r="I104" s="10"/>
      <c r="J104" s="10"/>
      <c r="K104" s="36"/>
    </row>
    <row r="105" spans="4:11" ht="15" customHeight="1" x14ac:dyDescent="0.25">
      <c r="D105" s="35"/>
      <c r="E105" s="10"/>
      <c r="F105" s="10"/>
      <c r="G105" s="10"/>
      <c r="H105" s="10"/>
      <c r="I105" s="10"/>
      <c r="J105" s="10"/>
      <c r="K105" s="36"/>
    </row>
    <row r="106" spans="4:11" ht="15" customHeight="1" thickBot="1" x14ac:dyDescent="0.3">
      <c r="D106" s="37"/>
      <c r="E106" s="38"/>
      <c r="F106" s="38"/>
      <c r="G106" s="38"/>
      <c r="H106" s="38"/>
      <c r="I106" s="38"/>
      <c r="J106" s="38"/>
      <c r="K106" s="39"/>
    </row>
    <row r="107" spans="4:11" ht="15" customHeight="1" x14ac:dyDescent="0.25">
      <c r="D107" s="11"/>
      <c r="E107" s="11"/>
      <c r="F107" s="11"/>
      <c r="G107" s="11"/>
      <c r="H107" s="11"/>
      <c r="I107" s="11"/>
      <c r="J107" s="11"/>
      <c r="K107" s="11"/>
    </row>
    <row r="108" spans="4:11" ht="15" customHeight="1" x14ac:dyDescent="0.25">
      <c r="D108" s="11"/>
      <c r="E108" s="11"/>
      <c r="F108" s="11"/>
      <c r="G108" s="11"/>
      <c r="H108" s="11"/>
      <c r="I108" s="11"/>
      <c r="J108" s="11"/>
      <c r="K108" s="11"/>
    </row>
    <row r="109" spans="4:11" ht="15" customHeight="1" x14ac:dyDescent="0.25">
      <c r="D109" s="11"/>
      <c r="E109" s="11"/>
      <c r="F109" s="11"/>
      <c r="G109" s="11"/>
      <c r="H109" s="11"/>
      <c r="I109" s="11"/>
      <c r="J109" s="11"/>
      <c r="K109" s="11"/>
    </row>
    <row r="110" spans="4:11" ht="15" customHeight="1" thickBot="1" x14ac:dyDescent="0.3">
      <c r="D110" s="11"/>
      <c r="E110" s="11"/>
      <c r="F110" s="11"/>
      <c r="G110" s="11"/>
      <c r="H110" s="11"/>
      <c r="I110" s="11"/>
      <c r="J110" s="11"/>
      <c r="K110" s="11"/>
    </row>
    <row r="111" spans="4:11" ht="15" customHeight="1" x14ac:dyDescent="0.25">
      <c r="D111" s="32"/>
      <c r="E111" s="33"/>
      <c r="F111" s="33"/>
      <c r="G111" s="33"/>
      <c r="H111" s="33"/>
      <c r="I111" s="33"/>
      <c r="J111" s="33"/>
      <c r="K111" s="34"/>
    </row>
    <row r="112" spans="4:11" ht="15" customHeight="1" x14ac:dyDescent="0.25">
      <c r="D112" s="35"/>
      <c r="E112" s="10"/>
      <c r="F112" s="10"/>
      <c r="G112" s="10"/>
      <c r="H112" s="10"/>
      <c r="I112" s="10"/>
      <c r="J112" s="10"/>
      <c r="K112" s="36"/>
    </row>
    <row r="113" spans="4:11" ht="15" customHeight="1" x14ac:dyDescent="0.25">
      <c r="D113" s="35"/>
      <c r="E113" s="10"/>
      <c r="F113" s="10"/>
      <c r="G113" s="10"/>
      <c r="H113" s="10"/>
      <c r="I113" s="10"/>
      <c r="J113" s="10"/>
      <c r="K113" s="36"/>
    </row>
    <row r="114" spans="4:11" ht="15" customHeight="1" x14ac:dyDescent="0.25">
      <c r="D114" s="35"/>
      <c r="E114" s="10"/>
      <c r="F114" s="10"/>
      <c r="G114" s="10"/>
      <c r="H114" s="10"/>
      <c r="I114" s="10"/>
      <c r="J114" s="10"/>
      <c r="K114" s="36"/>
    </row>
    <row r="115" spans="4:11" ht="15" customHeight="1" x14ac:dyDescent="0.25">
      <c r="D115" s="35"/>
      <c r="E115" s="10"/>
      <c r="F115" s="10"/>
      <c r="G115" s="10"/>
      <c r="H115" s="10"/>
      <c r="I115" s="10"/>
      <c r="J115" s="10"/>
      <c r="K115" s="36"/>
    </row>
    <row r="116" spans="4:11" ht="15" customHeight="1" thickBot="1" x14ac:dyDescent="0.3">
      <c r="D116" s="37"/>
      <c r="E116" s="38"/>
      <c r="F116" s="38"/>
      <c r="G116" s="38"/>
      <c r="H116" s="38"/>
      <c r="I116" s="38"/>
      <c r="J116" s="38"/>
      <c r="K116" s="39"/>
    </row>
    <row r="117" spans="4:11" ht="15" customHeight="1" x14ac:dyDescent="0.25">
      <c r="D117" s="11"/>
      <c r="E117" s="11"/>
      <c r="F117" s="11"/>
      <c r="G117" s="11"/>
      <c r="H117" s="11"/>
      <c r="I117" s="11"/>
      <c r="J117" s="11"/>
      <c r="K117" s="11"/>
    </row>
    <row r="118" spans="4:11" ht="15" customHeight="1" x14ac:dyDescent="0.25">
      <c r="D118" s="11"/>
      <c r="E118" s="11"/>
      <c r="F118" s="11"/>
      <c r="G118" s="11"/>
      <c r="H118" s="11"/>
      <c r="I118" s="11"/>
      <c r="J118" s="11"/>
      <c r="K118" s="11"/>
    </row>
    <row r="119" spans="4:11" ht="15" customHeight="1" x14ac:dyDescent="0.25">
      <c r="D119" s="11"/>
      <c r="E119" s="11"/>
      <c r="F119" s="11"/>
      <c r="G119" s="11"/>
      <c r="H119" s="11"/>
      <c r="I119" s="11"/>
      <c r="J119" s="11"/>
      <c r="K119" s="11"/>
    </row>
    <row r="120" spans="4:11" ht="15" customHeight="1" thickBot="1" x14ac:dyDescent="0.3">
      <c r="D120" s="11"/>
      <c r="E120" s="11"/>
      <c r="F120" s="11"/>
      <c r="G120" s="11"/>
      <c r="H120" s="11"/>
      <c r="I120" s="11"/>
      <c r="J120" s="11"/>
      <c r="K120" s="11"/>
    </row>
    <row r="121" spans="4:11" ht="15" customHeight="1" x14ac:dyDescent="0.25">
      <c r="D121" s="32"/>
      <c r="E121" s="33"/>
      <c r="F121" s="33"/>
      <c r="G121" s="33"/>
      <c r="H121" s="33"/>
      <c r="I121" s="33"/>
      <c r="J121" s="33"/>
      <c r="K121" s="34"/>
    </row>
    <row r="122" spans="4:11" ht="15" customHeight="1" x14ac:dyDescent="0.25">
      <c r="D122" s="35"/>
      <c r="E122" s="10"/>
      <c r="F122" s="10"/>
      <c r="G122" s="10"/>
      <c r="H122" s="10"/>
      <c r="I122" s="10"/>
      <c r="J122" s="10"/>
      <c r="K122" s="36"/>
    </row>
    <row r="123" spans="4:11" ht="15" customHeight="1" x14ac:dyDescent="0.25">
      <c r="D123" s="35"/>
      <c r="E123" s="10"/>
      <c r="F123" s="10"/>
      <c r="G123" s="10"/>
      <c r="H123" s="10"/>
      <c r="I123" s="10"/>
      <c r="J123" s="10"/>
      <c r="K123" s="36"/>
    </row>
    <row r="124" spans="4:11" ht="15" customHeight="1" x14ac:dyDescent="0.25">
      <c r="D124" s="35"/>
      <c r="E124" s="10"/>
      <c r="F124" s="10"/>
      <c r="G124" s="10"/>
      <c r="H124" s="10"/>
      <c r="I124" s="10"/>
      <c r="J124" s="10"/>
      <c r="K124" s="36"/>
    </row>
    <row r="125" spans="4:11" ht="15" customHeight="1" x14ac:dyDescent="0.25">
      <c r="D125" s="35"/>
      <c r="E125" s="10"/>
      <c r="F125" s="10"/>
      <c r="G125" s="10"/>
      <c r="H125" s="10"/>
      <c r="I125" s="10"/>
      <c r="J125" s="10"/>
      <c r="K125" s="36"/>
    </row>
    <row r="126" spans="4:11" ht="15" customHeight="1" thickBot="1" x14ac:dyDescent="0.3">
      <c r="D126" s="37"/>
      <c r="E126" s="38"/>
      <c r="F126" s="38"/>
      <c r="G126" s="38"/>
      <c r="H126" s="38"/>
      <c r="I126" s="38"/>
      <c r="J126" s="38"/>
      <c r="K126" s="39"/>
    </row>
    <row r="127" spans="4:11" ht="15" customHeight="1" x14ac:dyDescent="0.25">
      <c r="D127" s="11"/>
      <c r="E127" s="11"/>
      <c r="F127" s="11"/>
      <c r="G127" s="11"/>
      <c r="H127" s="11"/>
      <c r="I127" s="11"/>
      <c r="J127" s="11"/>
      <c r="K127" s="11"/>
    </row>
    <row r="128" spans="4:11" ht="15" customHeight="1" x14ac:dyDescent="0.25">
      <c r="D128" s="11"/>
      <c r="E128" s="11"/>
      <c r="F128" s="11"/>
      <c r="G128" s="11"/>
      <c r="H128" s="11"/>
      <c r="I128" s="11"/>
      <c r="J128" s="11"/>
      <c r="K128" s="11"/>
    </row>
    <row r="129" spans="4:11" ht="15" customHeight="1" x14ac:dyDescent="0.25">
      <c r="D129" s="11"/>
      <c r="E129" s="11"/>
      <c r="F129" s="11"/>
      <c r="G129" s="11"/>
      <c r="H129" s="11"/>
      <c r="I129" s="11"/>
      <c r="J129" s="11"/>
      <c r="K129" s="11"/>
    </row>
    <row r="130" spans="4:11" ht="15" customHeight="1" thickBot="1" x14ac:dyDescent="0.3">
      <c r="D130" s="11"/>
      <c r="E130" s="11"/>
      <c r="F130" s="11"/>
      <c r="G130" s="11"/>
      <c r="H130" s="11"/>
      <c r="I130" s="11"/>
      <c r="J130" s="11"/>
      <c r="K130" s="11"/>
    </row>
    <row r="131" spans="4:11" ht="15" customHeight="1" x14ac:dyDescent="0.25">
      <c r="D131" s="32"/>
      <c r="E131" s="33"/>
      <c r="F131" s="33"/>
      <c r="G131" s="33"/>
      <c r="H131" s="33"/>
      <c r="I131" s="33"/>
      <c r="J131" s="33"/>
      <c r="K131" s="34"/>
    </row>
    <row r="132" spans="4:11" ht="15" customHeight="1" x14ac:dyDescent="0.25">
      <c r="D132" s="35"/>
      <c r="E132" s="10"/>
      <c r="F132" s="10"/>
      <c r="G132" s="10"/>
      <c r="H132" s="10"/>
      <c r="I132" s="10"/>
      <c r="J132" s="10"/>
      <c r="K132" s="36"/>
    </row>
    <row r="133" spans="4:11" ht="15" customHeight="1" x14ac:dyDescent="0.25">
      <c r="D133" s="35"/>
      <c r="E133" s="10"/>
      <c r="F133" s="10"/>
      <c r="G133" s="10"/>
      <c r="H133" s="10"/>
      <c r="I133" s="10"/>
      <c r="J133" s="10"/>
      <c r="K133" s="36"/>
    </row>
    <row r="134" spans="4:11" ht="15" customHeight="1" x14ac:dyDescent="0.25">
      <c r="D134" s="35"/>
      <c r="E134" s="10"/>
      <c r="F134" s="10"/>
      <c r="G134" s="10"/>
      <c r="H134" s="10"/>
      <c r="I134" s="10"/>
      <c r="J134" s="10"/>
      <c r="K134" s="36"/>
    </row>
    <row r="135" spans="4:11" ht="15" customHeight="1" x14ac:dyDescent="0.25">
      <c r="D135" s="35"/>
      <c r="E135" s="10"/>
      <c r="F135" s="10"/>
      <c r="G135" s="10"/>
      <c r="H135" s="10"/>
      <c r="I135" s="10"/>
      <c r="J135" s="10"/>
      <c r="K135" s="36"/>
    </row>
    <row r="136" spans="4:11" ht="15" customHeight="1" thickBot="1" x14ac:dyDescent="0.3">
      <c r="D136" s="37"/>
      <c r="E136" s="38"/>
      <c r="F136" s="38"/>
      <c r="G136" s="38"/>
      <c r="H136" s="38"/>
      <c r="I136" s="38"/>
      <c r="J136" s="38"/>
      <c r="K136" s="39"/>
    </row>
    <row r="137" spans="4:11" ht="15" customHeight="1" x14ac:dyDescent="0.25">
      <c r="D137" s="11"/>
      <c r="E137" s="11"/>
      <c r="F137" s="11"/>
      <c r="G137" s="11"/>
      <c r="H137" s="11"/>
      <c r="I137" s="11"/>
      <c r="J137" s="11"/>
      <c r="K137" s="11"/>
    </row>
    <row r="138" spans="4:11" ht="15" customHeight="1" x14ac:dyDescent="0.25">
      <c r="D138" s="11"/>
      <c r="E138" s="11"/>
      <c r="F138" s="11"/>
      <c r="G138" s="11"/>
      <c r="H138" s="11"/>
      <c r="I138" s="11"/>
      <c r="J138" s="11"/>
      <c r="K138" s="11"/>
    </row>
    <row r="139" spans="4:11" ht="15" customHeight="1" x14ac:dyDescent="0.25">
      <c r="D139" s="11"/>
      <c r="E139" s="11"/>
      <c r="F139" s="11"/>
      <c r="G139" s="11"/>
      <c r="H139" s="11"/>
      <c r="I139" s="11"/>
      <c r="J139" s="11"/>
      <c r="K139" s="11"/>
    </row>
    <row r="140" spans="4:11" ht="15" customHeight="1" thickBot="1" x14ac:dyDescent="0.3">
      <c r="D140" s="11"/>
      <c r="E140" s="11"/>
      <c r="F140" s="11"/>
      <c r="G140" s="11"/>
      <c r="H140" s="11"/>
      <c r="I140" s="11"/>
      <c r="J140" s="11"/>
      <c r="K140" s="11"/>
    </row>
    <row r="141" spans="4:11" ht="15" customHeight="1" x14ac:dyDescent="0.25">
      <c r="D141" s="32"/>
      <c r="E141" s="33"/>
      <c r="F141" s="33"/>
      <c r="G141" s="33"/>
      <c r="H141" s="33"/>
      <c r="I141" s="33"/>
      <c r="J141" s="33"/>
      <c r="K141" s="34"/>
    </row>
    <row r="142" spans="4:11" ht="15" customHeight="1" x14ac:dyDescent="0.25">
      <c r="D142" s="35"/>
      <c r="E142" s="10"/>
      <c r="F142" s="10"/>
      <c r="G142" s="10"/>
      <c r="H142" s="10"/>
      <c r="I142" s="10"/>
      <c r="J142" s="10"/>
      <c r="K142" s="36"/>
    </row>
    <row r="143" spans="4:11" ht="15" customHeight="1" x14ac:dyDescent="0.25">
      <c r="D143" s="35"/>
      <c r="E143" s="10"/>
      <c r="F143" s="10"/>
      <c r="G143" s="10"/>
      <c r="H143" s="10"/>
      <c r="I143" s="10"/>
      <c r="J143" s="10"/>
      <c r="K143" s="36"/>
    </row>
    <row r="144" spans="4:11" ht="15" customHeight="1" x14ac:dyDescent="0.25">
      <c r="D144" s="35"/>
      <c r="E144" s="10"/>
      <c r="F144" s="10"/>
      <c r="G144" s="10"/>
      <c r="H144" s="10"/>
      <c r="I144" s="10"/>
      <c r="J144" s="10"/>
      <c r="K144" s="36"/>
    </row>
    <row r="145" spans="4:11" ht="15" customHeight="1" x14ac:dyDescent="0.25">
      <c r="D145" s="35"/>
      <c r="E145" s="10"/>
      <c r="F145" s="10"/>
      <c r="G145" s="10"/>
      <c r="H145" s="10"/>
      <c r="I145" s="10"/>
      <c r="J145" s="10"/>
      <c r="K145" s="36"/>
    </row>
    <row r="146" spans="4:11" ht="15" customHeight="1" thickBot="1" x14ac:dyDescent="0.3">
      <c r="D146" s="37"/>
      <c r="E146" s="38"/>
      <c r="F146" s="38"/>
      <c r="G146" s="38"/>
      <c r="H146" s="38"/>
      <c r="I146" s="38"/>
      <c r="J146" s="38"/>
      <c r="K146" s="39"/>
    </row>
    <row r="147" spans="4:11" ht="15" customHeight="1" x14ac:dyDescent="0.25">
      <c r="D147" s="11"/>
      <c r="E147" s="11"/>
      <c r="F147" s="11"/>
      <c r="G147" s="11"/>
      <c r="H147" s="11"/>
      <c r="I147" s="11"/>
      <c r="J147" s="11"/>
      <c r="K147" s="11"/>
    </row>
    <row r="148" spans="4:11" ht="15" customHeight="1" x14ac:dyDescent="0.25">
      <c r="D148" s="11"/>
      <c r="E148" s="11"/>
      <c r="F148" s="11"/>
      <c r="G148" s="11"/>
      <c r="H148" s="11"/>
      <c r="I148" s="11"/>
      <c r="J148" s="11"/>
      <c r="K148" s="11"/>
    </row>
    <row r="149" spans="4:11" ht="15" customHeight="1" x14ac:dyDescent="0.25">
      <c r="D149" s="11"/>
      <c r="E149" s="11"/>
      <c r="F149" s="11"/>
      <c r="G149" s="11"/>
      <c r="H149" s="11"/>
      <c r="I149" s="11"/>
      <c r="J149" s="11"/>
      <c r="K149" s="11"/>
    </row>
    <row r="150" spans="4:11" ht="15" customHeight="1" thickBot="1" x14ac:dyDescent="0.3">
      <c r="D150" s="11"/>
      <c r="E150" s="11"/>
      <c r="F150" s="11"/>
      <c r="G150" s="11"/>
      <c r="H150" s="11"/>
      <c r="I150" s="11"/>
      <c r="J150" s="11"/>
      <c r="K150" s="11"/>
    </row>
    <row r="151" spans="4:11" ht="15" customHeight="1" x14ac:dyDescent="0.25">
      <c r="D151" s="32"/>
      <c r="E151" s="33"/>
      <c r="F151" s="33"/>
      <c r="G151" s="33"/>
      <c r="H151" s="33"/>
      <c r="I151" s="33"/>
      <c r="J151" s="33"/>
      <c r="K151" s="34"/>
    </row>
    <row r="152" spans="4:11" ht="15" customHeight="1" x14ac:dyDescent="0.25">
      <c r="D152" s="35"/>
      <c r="E152" s="10"/>
      <c r="F152" s="10"/>
      <c r="G152" s="10"/>
      <c r="H152" s="10"/>
      <c r="I152" s="10"/>
      <c r="J152" s="10"/>
      <c r="K152" s="36"/>
    </row>
    <row r="153" spans="4:11" ht="15" customHeight="1" x14ac:dyDescent="0.25">
      <c r="D153" s="35"/>
      <c r="E153" s="10"/>
      <c r="F153" s="10"/>
      <c r="G153" s="10"/>
      <c r="H153" s="10"/>
      <c r="I153" s="10"/>
      <c r="J153" s="10"/>
      <c r="K153" s="36"/>
    </row>
    <row r="154" spans="4:11" ht="15" customHeight="1" x14ac:dyDescent="0.25">
      <c r="D154" s="35"/>
      <c r="E154" s="10"/>
      <c r="F154" s="10"/>
      <c r="G154" s="10"/>
      <c r="H154" s="10"/>
      <c r="I154" s="10"/>
      <c r="J154" s="10"/>
      <c r="K154" s="36"/>
    </row>
    <row r="155" spans="4:11" ht="15" customHeight="1" x14ac:dyDescent="0.25">
      <c r="D155" s="35"/>
      <c r="E155" s="10"/>
      <c r="F155" s="10"/>
      <c r="G155" s="10"/>
      <c r="H155" s="10"/>
      <c r="I155" s="10"/>
      <c r="J155" s="10"/>
      <c r="K155" s="36"/>
    </row>
    <row r="156" spans="4:11" ht="15" customHeight="1" thickBot="1" x14ac:dyDescent="0.3">
      <c r="D156" s="37"/>
      <c r="E156" s="38"/>
      <c r="F156" s="38"/>
      <c r="G156" s="38"/>
      <c r="H156" s="38"/>
      <c r="I156" s="38"/>
      <c r="J156" s="38"/>
      <c r="K156" s="39"/>
    </row>
    <row r="157" spans="4:11" ht="15" customHeight="1" x14ac:dyDescent="0.25">
      <c r="D157" s="11"/>
      <c r="E157" s="11"/>
      <c r="F157" s="11"/>
      <c r="G157" s="11"/>
      <c r="H157" s="11"/>
      <c r="I157" s="11"/>
      <c r="J157" s="11"/>
      <c r="K157" s="11"/>
    </row>
    <row r="158" spans="4:11" ht="15" customHeight="1" x14ac:dyDescent="0.25">
      <c r="D158" s="11"/>
      <c r="E158" s="11"/>
      <c r="F158" s="11"/>
      <c r="G158" s="11"/>
      <c r="H158" s="11"/>
      <c r="I158" s="11"/>
      <c r="J158" s="11"/>
      <c r="K158" s="11"/>
    </row>
    <row r="159" spans="4:11" ht="15" customHeight="1" x14ac:dyDescent="0.25">
      <c r="D159" s="11"/>
      <c r="E159" s="11"/>
      <c r="F159" s="11"/>
      <c r="G159" s="11"/>
      <c r="H159" s="11"/>
      <c r="I159" s="11"/>
      <c r="J159" s="11"/>
      <c r="K159" s="11"/>
    </row>
    <row r="160" spans="4:11" ht="15" customHeight="1" thickBot="1" x14ac:dyDescent="0.3">
      <c r="D160" s="11"/>
      <c r="E160" s="11"/>
      <c r="F160" s="11"/>
      <c r="G160" s="11"/>
      <c r="H160" s="11"/>
      <c r="I160" s="11"/>
      <c r="J160" s="11"/>
      <c r="K160" s="11"/>
    </row>
    <row r="161" spans="4:11" ht="15" customHeight="1" x14ac:dyDescent="0.25">
      <c r="D161" s="32"/>
      <c r="E161" s="33"/>
      <c r="F161" s="33"/>
      <c r="G161" s="33"/>
      <c r="H161" s="33"/>
      <c r="I161" s="33"/>
      <c r="J161" s="33"/>
      <c r="K161" s="34"/>
    </row>
    <row r="162" spans="4:11" ht="15" customHeight="1" x14ac:dyDescent="0.25">
      <c r="D162" s="35"/>
      <c r="E162" s="10"/>
      <c r="F162" s="10"/>
      <c r="G162" s="10"/>
      <c r="H162" s="10"/>
      <c r="I162" s="10"/>
      <c r="J162" s="10"/>
      <c r="K162" s="36"/>
    </row>
    <row r="163" spans="4:11" ht="15" customHeight="1" x14ac:dyDescent="0.25">
      <c r="D163" s="35"/>
      <c r="E163" s="10"/>
      <c r="F163" s="10"/>
      <c r="G163" s="10"/>
      <c r="H163" s="10"/>
      <c r="I163" s="10"/>
      <c r="J163" s="10"/>
      <c r="K163" s="36"/>
    </row>
    <row r="164" spans="4:11" ht="15" customHeight="1" x14ac:dyDescent="0.25">
      <c r="D164" s="35"/>
      <c r="E164" s="10"/>
      <c r="F164" s="10"/>
      <c r="G164" s="10"/>
      <c r="H164" s="10"/>
      <c r="I164" s="10"/>
      <c r="J164" s="10"/>
      <c r="K164" s="36"/>
    </row>
    <row r="165" spans="4:11" ht="15" customHeight="1" x14ac:dyDescent="0.25">
      <c r="D165" s="35"/>
      <c r="E165" s="10"/>
      <c r="F165" s="10"/>
      <c r="G165" s="10"/>
      <c r="H165" s="10"/>
      <c r="I165" s="10"/>
      <c r="J165" s="10"/>
      <c r="K165" s="36"/>
    </row>
    <row r="166" spans="4:11" ht="15" customHeight="1" thickBot="1" x14ac:dyDescent="0.3">
      <c r="D166" s="37"/>
      <c r="E166" s="38"/>
      <c r="F166" s="38"/>
      <c r="G166" s="38"/>
      <c r="H166" s="38"/>
      <c r="I166" s="38"/>
      <c r="J166" s="38"/>
      <c r="K166" s="39"/>
    </row>
    <row r="167" spans="4:11" ht="15" customHeight="1" x14ac:dyDescent="0.25">
      <c r="D167" s="11"/>
      <c r="E167" s="11"/>
      <c r="F167" s="11"/>
      <c r="G167" s="11"/>
      <c r="H167" s="11"/>
      <c r="I167" s="11"/>
      <c r="J167" s="11"/>
      <c r="K167" s="11"/>
    </row>
    <row r="168" spans="4:11" ht="15" customHeight="1" x14ac:dyDescent="0.25">
      <c r="D168" s="11"/>
      <c r="E168" s="11"/>
      <c r="F168" s="11"/>
      <c r="G168" s="11"/>
      <c r="H168" s="11"/>
      <c r="I168" s="11"/>
      <c r="J168" s="11"/>
      <c r="K168" s="11"/>
    </row>
    <row r="169" spans="4:11" ht="15" customHeight="1" x14ac:dyDescent="0.25">
      <c r="D169" s="11"/>
      <c r="E169" s="11"/>
      <c r="F169" s="11"/>
      <c r="G169" s="11"/>
      <c r="H169" s="11"/>
      <c r="I169" s="11"/>
      <c r="J169" s="11"/>
      <c r="K169" s="11"/>
    </row>
    <row r="170" spans="4:11" ht="15" customHeight="1" thickBot="1" x14ac:dyDescent="0.3">
      <c r="D170" s="11"/>
      <c r="E170" s="11"/>
      <c r="F170" s="11"/>
      <c r="G170" s="11"/>
      <c r="H170" s="11"/>
      <c r="I170" s="11"/>
      <c r="J170" s="11"/>
      <c r="K170" s="11"/>
    </row>
    <row r="171" spans="4:11" ht="15" customHeight="1" x14ac:dyDescent="0.25">
      <c r="D171" s="32"/>
      <c r="E171" s="33"/>
      <c r="F171" s="33"/>
      <c r="G171" s="33"/>
      <c r="H171" s="33"/>
      <c r="I171" s="33"/>
      <c r="J171" s="33"/>
      <c r="K171" s="34"/>
    </row>
    <row r="172" spans="4:11" ht="15" customHeight="1" x14ac:dyDescent="0.25">
      <c r="D172" s="35"/>
      <c r="E172" s="10"/>
      <c r="F172" s="10"/>
      <c r="G172" s="10"/>
      <c r="H172" s="10"/>
      <c r="I172" s="10"/>
      <c r="J172" s="10"/>
      <c r="K172" s="36"/>
    </row>
    <row r="173" spans="4:11" ht="15" customHeight="1" x14ac:dyDescent="0.25">
      <c r="D173" s="35"/>
      <c r="E173" s="10"/>
      <c r="F173" s="10"/>
      <c r="G173" s="10"/>
      <c r="H173" s="10"/>
      <c r="I173" s="10"/>
      <c r="J173" s="10"/>
      <c r="K173" s="36"/>
    </row>
    <row r="174" spans="4:11" ht="15" customHeight="1" x14ac:dyDescent="0.25">
      <c r="D174" s="35"/>
      <c r="E174" s="10"/>
      <c r="F174" s="10"/>
      <c r="G174" s="10"/>
      <c r="H174" s="10"/>
      <c r="I174" s="10"/>
      <c r="J174" s="10"/>
      <c r="K174" s="36"/>
    </row>
    <row r="175" spans="4:11" ht="15" customHeight="1" x14ac:dyDescent="0.25">
      <c r="D175" s="35"/>
      <c r="E175" s="10"/>
      <c r="F175" s="10"/>
      <c r="G175" s="10"/>
      <c r="H175" s="10"/>
      <c r="I175" s="10"/>
      <c r="J175" s="10"/>
      <c r="K175" s="36"/>
    </row>
    <row r="176" spans="4:11" ht="15" customHeight="1" thickBot="1" x14ac:dyDescent="0.3">
      <c r="D176" s="37"/>
      <c r="E176" s="38"/>
      <c r="F176" s="38"/>
      <c r="G176" s="38"/>
      <c r="H176" s="38"/>
      <c r="I176" s="38"/>
      <c r="J176" s="38"/>
      <c r="K176" s="39"/>
    </row>
    <row r="177" spans="4:11" ht="15" customHeight="1" x14ac:dyDescent="0.25">
      <c r="D177" s="11"/>
      <c r="E177" s="11"/>
      <c r="F177" s="11"/>
      <c r="G177" s="11"/>
      <c r="H177" s="11"/>
      <c r="I177" s="11"/>
      <c r="J177" s="11"/>
      <c r="K177" s="11"/>
    </row>
    <row r="178" spans="4:11" ht="15" customHeight="1" x14ac:dyDescent="0.25">
      <c r="D178" s="11"/>
      <c r="E178" s="11"/>
      <c r="F178" s="11"/>
      <c r="G178" s="11"/>
      <c r="H178" s="11"/>
      <c r="I178" s="11"/>
      <c r="J178" s="11"/>
      <c r="K178" s="11"/>
    </row>
    <row r="179" spans="4:11" ht="15" customHeight="1" x14ac:dyDescent="0.25">
      <c r="D179" s="11"/>
      <c r="E179" s="11"/>
      <c r="F179" s="11"/>
      <c r="G179" s="11"/>
      <c r="H179" s="11"/>
      <c r="I179" s="11"/>
      <c r="J179" s="11"/>
      <c r="K179" s="11"/>
    </row>
    <row r="180" spans="4:11" ht="15" customHeight="1" thickBot="1" x14ac:dyDescent="0.3">
      <c r="D180" s="11"/>
      <c r="E180" s="11"/>
      <c r="F180" s="11"/>
      <c r="G180" s="11"/>
      <c r="H180" s="11"/>
      <c r="I180" s="11"/>
      <c r="J180" s="11"/>
      <c r="K180" s="11"/>
    </row>
    <row r="181" spans="4:11" ht="15" customHeight="1" x14ac:dyDescent="0.25">
      <c r="D181" s="32"/>
      <c r="E181" s="33"/>
      <c r="F181" s="33"/>
      <c r="G181" s="33"/>
      <c r="H181" s="33"/>
      <c r="I181" s="33"/>
      <c r="J181" s="33"/>
      <c r="K181" s="34"/>
    </row>
    <row r="182" spans="4:11" ht="15" customHeight="1" x14ac:dyDescent="0.25">
      <c r="D182" s="35"/>
      <c r="E182" s="10"/>
      <c r="F182" s="10"/>
      <c r="G182" s="10"/>
      <c r="H182" s="10"/>
      <c r="I182" s="10"/>
      <c r="J182" s="10"/>
      <c r="K182" s="36"/>
    </row>
    <row r="183" spans="4:11" ht="15" customHeight="1" x14ac:dyDescent="0.25">
      <c r="D183" s="35"/>
      <c r="E183" s="10"/>
      <c r="F183" s="10"/>
      <c r="G183" s="10"/>
      <c r="H183" s="10"/>
      <c r="I183" s="10"/>
      <c r="J183" s="10"/>
      <c r="K183" s="36"/>
    </row>
    <row r="184" spans="4:11" ht="15" customHeight="1" x14ac:dyDescent="0.25">
      <c r="D184" s="35"/>
      <c r="E184" s="10"/>
      <c r="F184" s="10"/>
      <c r="G184" s="10"/>
      <c r="H184" s="10"/>
      <c r="I184" s="10"/>
      <c r="J184" s="10"/>
      <c r="K184" s="36"/>
    </row>
    <row r="185" spans="4:11" ht="15" customHeight="1" x14ac:dyDescent="0.25">
      <c r="D185" s="35"/>
      <c r="E185" s="10"/>
      <c r="F185" s="10"/>
      <c r="G185" s="10"/>
      <c r="H185" s="10"/>
      <c r="I185" s="10"/>
      <c r="J185" s="10"/>
      <c r="K185" s="36"/>
    </row>
    <row r="186" spans="4:11" ht="15" customHeight="1" thickBot="1" x14ac:dyDescent="0.3">
      <c r="D186" s="37"/>
      <c r="E186" s="38"/>
      <c r="F186" s="38"/>
      <c r="G186" s="38"/>
      <c r="H186" s="38"/>
      <c r="I186" s="38"/>
      <c r="J186" s="38"/>
      <c r="K186" s="39"/>
    </row>
    <row r="187" spans="4:11" ht="15" customHeight="1" x14ac:dyDescent="0.25">
      <c r="D187" s="11"/>
      <c r="E187" s="11"/>
      <c r="F187" s="11"/>
      <c r="G187" s="11"/>
      <c r="H187" s="11"/>
      <c r="I187" s="11"/>
      <c r="J187" s="11"/>
      <c r="K187" s="11"/>
    </row>
    <row r="188" spans="4:11" ht="15" customHeight="1" x14ac:dyDescent="0.25">
      <c r="D188" s="11"/>
      <c r="E188" s="11"/>
      <c r="F188" s="11"/>
      <c r="G188" s="11"/>
      <c r="H188" s="11"/>
      <c r="I188" s="11"/>
      <c r="J188" s="11"/>
      <c r="K188" s="11"/>
    </row>
    <row r="189" spans="4:11" ht="15" customHeight="1" x14ac:dyDescent="0.25">
      <c r="D189" s="11"/>
      <c r="E189" s="11"/>
      <c r="F189" s="11"/>
      <c r="G189" s="11"/>
      <c r="H189" s="11"/>
      <c r="I189" s="11"/>
      <c r="J189" s="11"/>
      <c r="K189" s="11"/>
    </row>
    <row r="190" spans="4:11" ht="15" customHeight="1" thickBot="1" x14ac:dyDescent="0.3">
      <c r="D190" s="11"/>
      <c r="E190" s="11"/>
      <c r="F190" s="11"/>
      <c r="G190" s="11"/>
      <c r="H190" s="11"/>
      <c r="I190" s="11"/>
      <c r="J190" s="11"/>
      <c r="K190" s="11"/>
    </row>
    <row r="191" spans="4:11" ht="15" customHeight="1" x14ac:dyDescent="0.25">
      <c r="D191" s="32"/>
      <c r="E191" s="33"/>
      <c r="F191" s="33"/>
      <c r="G191" s="33"/>
      <c r="H191" s="33"/>
      <c r="I191" s="33"/>
      <c r="J191" s="33"/>
      <c r="K191" s="34"/>
    </row>
    <row r="192" spans="4:11" ht="15" customHeight="1" x14ac:dyDescent="0.25">
      <c r="D192" s="35"/>
      <c r="E192" s="10"/>
      <c r="F192" s="10"/>
      <c r="G192" s="10"/>
      <c r="H192" s="10"/>
      <c r="I192" s="10"/>
      <c r="J192" s="10"/>
      <c r="K192" s="36"/>
    </row>
    <row r="193" spans="4:11" ht="15" customHeight="1" x14ac:dyDescent="0.25">
      <c r="D193" s="35"/>
      <c r="E193" s="10"/>
      <c r="F193" s="10"/>
      <c r="G193" s="10"/>
      <c r="H193" s="10"/>
      <c r="I193" s="10"/>
      <c r="J193" s="10"/>
      <c r="K193" s="36"/>
    </row>
    <row r="194" spans="4:11" ht="15" customHeight="1" x14ac:dyDescent="0.25">
      <c r="D194" s="35"/>
      <c r="E194" s="10"/>
      <c r="F194" s="10"/>
      <c r="G194" s="10"/>
      <c r="H194" s="10"/>
      <c r="I194" s="10"/>
      <c r="J194" s="10"/>
      <c r="K194" s="36"/>
    </row>
    <row r="195" spans="4:11" ht="15" customHeight="1" x14ac:dyDescent="0.25">
      <c r="D195" s="35"/>
      <c r="E195" s="10"/>
      <c r="F195" s="10"/>
      <c r="G195" s="10"/>
      <c r="H195" s="10"/>
      <c r="I195" s="10"/>
      <c r="J195" s="10"/>
      <c r="K195" s="36"/>
    </row>
    <row r="196" spans="4:11" ht="15" customHeight="1" thickBot="1" x14ac:dyDescent="0.3">
      <c r="D196" s="37"/>
      <c r="E196" s="38"/>
      <c r="F196" s="38"/>
      <c r="G196" s="38"/>
      <c r="H196" s="38"/>
      <c r="I196" s="38"/>
      <c r="J196" s="38"/>
      <c r="K196" s="39"/>
    </row>
    <row r="197" spans="4:11" ht="15" customHeight="1" x14ac:dyDescent="0.25">
      <c r="D197" s="11"/>
      <c r="E197" s="11"/>
      <c r="F197" s="11"/>
      <c r="G197" s="11"/>
      <c r="H197" s="11"/>
      <c r="I197" s="11"/>
      <c r="J197" s="11"/>
      <c r="K197" s="11"/>
    </row>
    <row r="198" spans="4:11" ht="15" customHeight="1" x14ac:dyDescent="0.25">
      <c r="D198" s="11"/>
      <c r="E198" s="11"/>
      <c r="F198" s="11"/>
      <c r="G198" s="11"/>
      <c r="H198" s="11"/>
      <c r="I198" s="11"/>
      <c r="J198" s="11"/>
      <c r="K198" s="11"/>
    </row>
    <row r="199" spans="4:11" ht="15" customHeight="1" x14ac:dyDescent="0.25">
      <c r="D199" s="11"/>
      <c r="E199" s="11"/>
      <c r="F199" s="11"/>
      <c r="G199" s="11"/>
      <c r="H199" s="11"/>
      <c r="I199" s="11"/>
      <c r="J199" s="11"/>
      <c r="K199" s="11"/>
    </row>
    <row r="200" spans="4:11" ht="15" customHeight="1" x14ac:dyDescent="0.25">
      <c r="D200" s="11"/>
      <c r="E200" s="11"/>
      <c r="F200" s="11"/>
      <c r="G200" s="11"/>
      <c r="H200" s="11"/>
      <c r="I200" s="11"/>
      <c r="J200" s="11"/>
      <c r="K200" s="11"/>
    </row>
  </sheetData>
  <mergeCells count="202">
    <mergeCell ref="S7:T8"/>
    <mergeCell ref="U7:U8"/>
    <mergeCell ref="D59:D60"/>
    <mergeCell ref="E59:E60"/>
    <mergeCell ref="F59:G60"/>
    <mergeCell ref="H59:H60"/>
    <mergeCell ref="I59:I60"/>
    <mergeCell ref="J59:K60"/>
    <mergeCell ref="L59:M60"/>
    <mergeCell ref="N59:N60"/>
    <mergeCell ref="O59:P60"/>
    <mergeCell ref="D57:D58"/>
    <mergeCell ref="E57:E58"/>
    <mergeCell ref="F57:G58"/>
    <mergeCell ref="H57:H58"/>
    <mergeCell ref="I57:I58"/>
    <mergeCell ref="J57:K58"/>
    <mergeCell ref="L57:M58"/>
    <mergeCell ref="N57:N58"/>
    <mergeCell ref="O57:P58"/>
    <mergeCell ref="D55:D56"/>
    <mergeCell ref="E55:E56"/>
    <mergeCell ref="F55:G56"/>
    <mergeCell ref="H55:H56"/>
    <mergeCell ref="P15:P16"/>
    <mergeCell ref="I55:I56"/>
    <mergeCell ref="J55:K56"/>
    <mergeCell ref="L55:M56"/>
    <mergeCell ref="N55:N56"/>
    <mergeCell ref="O55:P56"/>
    <mergeCell ref="D53:D54"/>
    <mergeCell ref="E53:E54"/>
    <mergeCell ref="F53:G54"/>
    <mergeCell ref="H53:H54"/>
    <mergeCell ref="I53:I54"/>
    <mergeCell ref="J53:K54"/>
    <mergeCell ref="L53:M54"/>
    <mergeCell ref="N53:N54"/>
    <mergeCell ref="O53:P54"/>
    <mergeCell ref="Q9:Q10"/>
    <mergeCell ref="O3:R3"/>
    <mergeCell ref="D51:D52"/>
    <mergeCell ref="E51:E52"/>
    <mergeCell ref="F51:G52"/>
    <mergeCell ref="H51:H52"/>
    <mergeCell ref="I51:I52"/>
    <mergeCell ref="J51:K52"/>
    <mergeCell ref="L51:M52"/>
    <mergeCell ref="N51:N52"/>
    <mergeCell ref="O51:P52"/>
    <mergeCell ref="D4:E5"/>
    <mergeCell ref="P47:P48"/>
    <mergeCell ref="Q25:Q26"/>
    <mergeCell ref="R25:R26"/>
    <mergeCell ref="P25:P26"/>
    <mergeCell ref="O27:O28"/>
    <mergeCell ref="P27:P28"/>
    <mergeCell ref="Q27:Q28"/>
    <mergeCell ref="R27:R28"/>
    <mergeCell ref="Q13:Q14"/>
    <mergeCell ref="R13:R14"/>
    <mergeCell ref="O13:O14"/>
    <mergeCell ref="P13:P14"/>
    <mergeCell ref="E8:E12"/>
    <mergeCell ref="F4:G5"/>
    <mergeCell ref="O1:R2"/>
    <mergeCell ref="D14:D18"/>
    <mergeCell ref="E14:E18"/>
    <mergeCell ref="J8:J12"/>
    <mergeCell ref="D47:E48"/>
    <mergeCell ref="D49:D50"/>
    <mergeCell ref="E49:E50"/>
    <mergeCell ref="F49:G50"/>
    <mergeCell ref="H49:H50"/>
    <mergeCell ref="I49:I50"/>
    <mergeCell ref="J49:K50"/>
    <mergeCell ref="L49:M50"/>
    <mergeCell ref="N49:N50"/>
    <mergeCell ref="O35:O36"/>
    <mergeCell ref="P35:P36"/>
    <mergeCell ref="Q35:Q36"/>
    <mergeCell ref="R35:R36"/>
    <mergeCell ref="D32:D36"/>
    <mergeCell ref="E32:E36"/>
    <mergeCell ref="D38:D42"/>
    <mergeCell ref="J32:J36"/>
    <mergeCell ref="K32:K36"/>
    <mergeCell ref="Q23:Q24"/>
    <mergeCell ref="R29:R30"/>
    <mergeCell ref="A1:B1"/>
    <mergeCell ref="L20:L24"/>
    <mergeCell ref="D1:M3"/>
    <mergeCell ref="M7:M12"/>
    <mergeCell ref="E26:E30"/>
    <mergeCell ref="H26:H30"/>
    <mergeCell ref="F26:F30"/>
    <mergeCell ref="G26:G30"/>
    <mergeCell ref="I26:I30"/>
    <mergeCell ref="D26:D30"/>
    <mergeCell ref="J26:J30"/>
    <mergeCell ref="K26:K30"/>
    <mergeCell ref="L26:L30"/>
    <mergeCell ref="F8:F12"/>
    <mergeCell ref="G8:G12"/>
    <mergeCell ref="H8:H12"/>
    <mergeCell ref="D20:D24"/>
    <mergeCell ref="E20:E24"/>
    <mergeCell ref="F20:F24"/>
    <mergeCell ref="G20:G24"/>
    <mergeCell ref="H20:H24"/>
    <mergeCell ref="D8:D12"/>
    <mergeCell ref="F14:F18"/>
    <mergeCell ref="G14:G18"/>
    <mergeCell ref="H14:H18"/>
    <mergeCell ref="I14:I18"/>
    <mergeCell ref="J14:J18"/>
    <mergeCell ref="I8:I12"/>
    <mergeCell ref="Q15:Q16"/>
    <mergeCell ref="R15:R16"/>
    <mergeCell ref="P21:P22"/>
    <mergeCell ref="Q21:Q22"/>
    <mergeCell ref="O7:O8"/>
    <mergeCell ref="O9:O10"/>
    <mergeCell ref="P9:P10"/>
    <mergeCell ref="P7:P8"/>
    <mergeCell ref="R7:R8"/>
    <mergeCell ref="Q11:Q12"/>
    <mergeCell ref="R11:R12"/>
    <mergeCell ref="O11:O12"/>
    <mergeCell ref="O15:O16"/>
    <mergeCell ref="K20:K24"/>
    <mergeCell ref="I20:I24"/>
    <mergeCell ref="O19:O20"/>
    <mergeCell ref="P19:P20"/>
    <mergeCell ref="Q19:Q20"/>
    <mergeCell ref="Q5:R6"/>
    <mergeCell ref="O5:O6"/>
    <mergeCell ref="P5:P6"/>
    <mergeCell ref="H4:K5"/>
    <mergeCell ref="Q33:Q34"/>
    <mergeCell ref="O31:O32"/>
    <mergeCell ref="P31:P32"/>
    <mergeCell ref="R31:R32"/>
    <mergeCell ref="O33:O34"/>
    <mergeCell ref="P33:P34"/>
    <mergeCell ref="R33:R34"/>
    <mergeCell ref="Q7:Q8"/>
    <mergeCell ref="R9:R10"/>
    <mergeCell ref="Q17:Q18"/>
    <mergeCell ref="R17:R18"/>
    <mergeCell ref="P11:P12"/>
    <mergeCell ref="Q31:Q32"/>
    <mergeCell ref="R19:R20"/>
    <mergeCell ref="O17:O18"/>
    <mergeCell ref="P17:P18"/>
    <mergeCell ref="R21:R22"/>
    <mergeCell ref="O23:O24"/>
    <mergeCell ref="R23:R24"/>
    <mergeCell ref="P23:P24"/>
    <mergeCell ref="L38:L42"/>
    <mergeCell ref="M25:M30"/>
    <mergeCell ref="K14:K18"/>
    <mergeCell ref="L14:L18"/>
    <mergeCell ref="M13:M18"/>
    <mergeCell ref="K8:K12"/>
    <mergeCell ref="L8:L12"/>
    <mergeCell ref="M31:M36"/>
    <mergeCell ref="O21:O22"/>
    <mergeCell ref="L32:L36"/>
    <mergeCell ref="O61:P62"/>
    <mergeCell ref="U16:U17"/>
    <mergeCell ref="U14:U15"/>
    <mergeCell ref="W7:W8"/>
    <mergeCell ref="O49:P50"/>
    <mergeCell ref="D45:E45"/>
    <mergeCell ref="O25:O26"/>
    <mergeCell ref="M19:M24"/>
    <mergeCell ref="M37:M42"/>
    <mergeCell ref="J20:J24"/>
    <mergeCell ref="O29:O30"/>
    <mergeCell ref="P29:P30"/>
    <mergeCell ref="Q29:Q30"/>
    <mergeCell ref="I38:I42"/>
    <mergeCell ref="I32:I36"/>
    <mergeCell ref="E38:E42"/>
    <mergeCell ref="F38:F42"/>
    <mergeCell ref="G38:G42"/>
    <mergeCell ref="H38:H42"/>
    <mergeCell ref="H32:H36"/>
    <mergeCell ref="F32:F36"/>
    <mergeCell ref="G32:G36"/>
    <mergeCell ref="J38:J42"/>
    <mergeCell ref="K38:K42"/>
    <mergeCell ref="D69:K70"/>
    <mergeCell ref="D61:D62"/>
    <mergeCell ref="E61:E62"/>
    <mergeCell ref="F61:G62"/>
    <mergeCell ref="H61:H62"/>
    <mergeCell ref="I61:I62"/>
    <mergeCell ref="J61:K62"/>
    <mergeCell ref="L61:M62"/>
    <mergeCell ref="N61:N62"/>
  </mergeCells>
  <phoneticPr fontId="1" type="noConversion"/>
  <conditionalFormatting sqref="A2 A7 A12 A17 A22 A27 A32 A37 A42 A47">
    <cfRule type="expression" dxfId="10" priority="6">
      <formula>COUNTIF($D$7:$K$37,$A2)&gt;0</formula>
    </cfRule>
  </conditionalFormatting>
  <conditionalFormatting sqref="A3 A8 A13 A18 A23 A28 A33 A38 A43 A48">
    <cfRule type="expression" dxfId="9" priority="5">
      <formula>COUNTIF($D$7:$K$37,$A3)&gt;0</formula>
    </cfRule>
  </conditionalFormatting>
  <conditionalFormatting sqref="A4 A9 A14 A19 A24 A29 A34 A39 A44">
    <cfRule type="expression" dxfId="8" priority="4">
      <formula>COUNTIF($D$7:$K$37,$A4)&gt;0</formula>
    </cfRule>
  </conditionalFormatting>
  <conditionalFormatting sqref="A5 A10 A15 A20 A25 A30 A35 A40 A45">
    <cfRule type="expression" dxfId="7" priority="3">
      <formula>COUNTIF($D$7:$K$37,$A5)&gt;0</formula>
    </cfRule>
  </conditionalFormatting>
  <conditionalFormatting sqref="A6 A11 A16 A21 A26 A31 A36 A41 A46">
    <cfRule type="expression" dxfId="6" priority="2">
      <formula>COUNTIF($D$7:$K$37,$A6)&gt;0</formula>
    </cfRule>
  </conditionalFormatting>
  <conditionalFormatting sqref="D71:K76 D81:K86 D91:K96 D101:K106 D111:K116 D121:K126 D131:K136 D141:K146 D151:K156 D161:K166 D171:K176 D181:K186 D191:K196">
    <cfRule type="expression" dxfId="5" priority="1">
      <formula>D71&gt;0</formula>
    </cfRule>
  </conditionalFormatting>
  <printOptions horizontalCentered="1"/>
  <pageMargins left="0.23622047244094491" right="0.23622047244094491" top="0.94488188976377963" bottom="0.74803149606299213" header="0.31496062992125984" footer="0.31496062992125984"/>
  <pageSetup paperSize="9" scale="76"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clearSeatNum">
                <anchor moveWithCells="1" sizeWithCells="1">
                  <from>
                    <xdr:col>18</xdr:col>
                    <xdr:colOff>771525</xdr:colOff>
                    <xdr:row>12</xdr:row>
                    <xdr:rowOff>180975</xdr:rowOff>
                  </from>
                  <to>
                    <xdr:col>19</xdr:col>
                    <xdr:colOff>838200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rasetNum">
                <anchor moveWithCells="1" sizeWithCells="1">
                  <from>
                    <xdr:col>22</xdr:col>
                    <xdr:colOff>0</xdr:colOff>
                    <xdr:row>6</xdr:row>
                    <xdr:rowOff>9525</xdr:rowOff>
                  </from>
                  <to>
                    <xdr:col>23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Spinner 25">
              <controlPr defaultSize="0" autoPict="0">
                <anchor moveWithCells="1" sizeWithCells="1">
                  <from>
                    <xdr:col>20</xdr:col>
                    <xdr:colOff>457200</xdr:colOff>
                    <xdr:row>6</xdr:row>
                    <xdr:rowOff>9525</xdr:rowOff>
                  </from>
                  <to>
                    <xdr:col>20</xdr:col>
                    <xdr:colOff>685800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randomAllSeat">
                <anchor moveWithCells="1" sizeWithCells="1">
                  <from>
                    <xdr:col>22</xdr:col>
                    <xdr:colOff>0</xdr:colOff>
                    <xdr:row>3</xdr:row>
                    <xdr:rowOff>190500</xdr:rowOff>
                  </from>
                  <to>
                    <xdr:col>23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randomSeat">
                <anchor moveWithCells="1" sizeWithCells="1">
                  <from>
                    <xdr:col>13</xdr:col>
                    <xdr:colOff>514350</xdr:colOff>
                    <xdr:row>36</xdr:row>
                    <xdr:rowOff>180975</xdr:rowOff>
                  </from>
                  <to>
                    <xdr:col>17</xdr:col>
                    <xdr:colOff>781050</xdr:colOff>
                    <xdr:row>41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9" name="Button 28">
              <controlPr defaultSize="0" print="0" autoFill="0" autoPict="0" macro="[0]!randomNumber">
                <anchor moveWithCells="1" sizeWithCells="1">
                  <from>
                    <xdr:col>18</xdr:col>
                    <xdr:colOff>161925</xdr:colOff>
                    <xdr:row>36</xdr:row>
                    <xdr:rowOff>171450</xdr:rowOff>
                  </from>
                  <to>
                    <xdr:col>20</xdr:col>
                    <xdr:colOff>628650</xdr:colOff>
                    <xdr:row>41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resetBackup">
                <anchor moveWithCells="1" sizeWithCells="1">
                  <from>
                    <xdr:col>22</xdr:col>
                    <xdr:colOff>0</xdr:colOff>
                    <xdr:row>12</xdr:row>
                    <xdr:rowOff>95250</xdr:rowOff>
                  </from>
                  <to>
                    <xdr:col>23</xdr:col>
                    <xdr:colOff>9525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1" name="Spinner 30">
              <controlPr defaultSize="0" autoPict="0">
                <anchor moveWithCells="1" sizeWithCells="1">
                  <from>
                    <xdr:col>24</xdr:col>
                    <xdr:colOff>257175</xdr:colOff>
                    <xdr:row>14</xdr:row>
                    <xdr:rowOff>85725</xdr:rowOff>
                  </from>
                  <to>
                    <xdr:col>24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工作表1!Print_Area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tyleryeh0831@gmail.com</dc:creator>
  <cp:lastModifiedBy>Tyler Yeh</cp:lastModifiedBy>
  <cp:lastPrinted>2023-09-15T13:07:57Z</cp:lastPrinted>
  <dcterms:created xsi:type="dcterms:W3CDTF">2023-04-12T04:26:04Z</dcterms:created>
  <dcterms:modified xsi:type="dcterms:W3CDTF">2023-09-18T15:03:41Z</dcterms:modified>
</cp:coreProperties>
</file>