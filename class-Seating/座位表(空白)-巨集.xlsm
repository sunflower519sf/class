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13_ncr:1_{70858846-E46A-40EE-B7AE-BB24C3EB4BE7}" xr6:coauthVersionLast="47" xr6:coauthVersionMax="47" xr10:uidLastSave="{00000000-0000-0000-0000-000000000000}"/>
  <bookViews>
    <workbookView xWindow="780" yWindow="780" windowWidth="19830" windowHeight="15330" xr2:uid="{00000000-000D-0000-FFFF-FFFF00000000}"/>
  </bookViews>
  <sheets>
    <sheet name="工作表1" sheetId="1" r:id="rId1"/>
  </sheets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O55" i="1"/>
  <c r="J55" i="1"/>
  <c r="F55" i="1"/>
  <c r="O53" i="1"/>
  <c r="J53" i="1"/>
  <c r="F53" i="1"/>
  <c r="O51" i="1"/>
  <c r="J51" i="1"/>
  <c r="F51" i="1"/>
  <c r="J8" i="1"/>
  <c r="K38" i="1"/>
  <c r="J38" i="1"/>
  <c r="I38" i="1"/>
  <c r="H38" i="1"/>
  <c r="G38" i="1"/>
  <c r="F38" i="1"/>
  <c r="E38" i="1"/>
  <c r="D38" i="1"/>
  <c r="K32" i="1"/>
  <c r="J32" i="1"/>
  <c r="I32" i="1"/>
  <c r="H32" i="1"/>
  <c r="G32" i="1"/>
  <c r="F32" i="1"/>
  <c r="E32" i="1"/>
  <c r="D32" i="1"/>
  <c r="K26" i="1"/>
  <c r="J26" i="1"/>
  <c r="I26" i="1"/>
  <c r="H26" i="1"/>
  <c r="G26" i="1"/>
  <c r="F26" i="1"/>
  <c r="E26" i="1"/>
  <c r="D26" i="1"/>
  <c r="K20" i="1"/>
  <c r="J20" i="1"/>
  <c r="I20" i="1"/>
  <c r="H20" i="1"/>
  <c r="G20" i="1"/>
  <c r="F20" i="1"/>
  <c r="E20" i="1"/>
  <c r="D20" i="1"/>
  <c r="K14" i="1"/>
  <c r="J14" i="1"/>
  <c r="I14" i="1"/>
  <c r="H14" i="1"/>
  <c r="G14" i="1"/>
  <c r="F14" i="1"/>
  <c r="E14" i="1"/>
  <c r="D14" i="1"/>
  <c r="D8" i="1"/>
  <c r="E8" i="1"/>
  <c r="F8" i="1"/>
  <c r="G8" i="1"/>
  <c r="H8" i="1"/>
  <c r="I8" i="1"/>
  <c r="K8" i="1"/>
  <c r="R35" i="1"/>
  <c r="R33" i="1"/>
  <c r="H4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O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811658E6-5E84-42CE-B981-F94C70A629DF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D6B9F4E8-E504-4C72-B4D2-A11B2B01808A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<sst xmlns="http://schemas.openxmlformats.org/spreadsheetml/2006/main" count="67" uniqueCount="38">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</sst>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5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sz val="10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8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ck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 applyFont="1" applyAlignment="1"/>
    <xf numFmtId="0" fontId="6" fillId="2" borderId="1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176" fontId="5" fillId="2" borderId="3" xfId="0" applyNumberFormat="1" applyFont="1" applyFill="1" applyBorder="1" applyAlignment="1">
      <alignment horizontal="center"/>
    </xf>
    <xf numFmtId="176" fontId="5" fillId="2" borderId="5" xfId="0" applyNumberFormat="1" applyFont="1" applyFill="1" applyBorder="1" applyAlignment="1">
      <alignment horizontal="center"/>
    </xf>
    <xf numFmtId="0" fontId="9" fillId="0" borderId="32" xfId="0" applyFont="1" applyBorder="1" applyAlignment="1">
      <alignment vertical="center"/>
    </xf>
    <xf numFmtId="176" fontId="5" fillId="2" borderId="7" xfId="0" applyNumberFormat="1" applyFont="1" applyFill="1" applyBorder="1" applyAlignment="1">
      <alignment horizontal="center"/>
    </xf>
    <xf numFmtId="176" fontId="5" fillId="2" borderId="44" xfId="0" applyNumberFormat="1" applyFont="1" applyFill="1" applyBorder="1" applyAlignment="1">
      <alignment horizontal="center"/>
    </xf>
    <xf numFmtId="176" fontId="5" fillId="2" borderId="46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176" fontId="20" fillId="0" borderId="9" xfId="0" applyNumberFormat="1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5" fillId="0" borderId="0" xfId="0" applyFont="1" applyBorder="1"/>
    <xf numFmtId="176" fontId="20" fillId="7" borderId="9" xfId="0" applyNumberFormat="1" applyFont="1" applyFill="1" applyBorder="1" applyAlignment="1">
      <alignment horizontal="center"/>
    </xf>
    <xf numFmtId="0" fontId="4" fillId="0" borderId="0" xfId="0" applyFont="1" applyAlignment="1" applyProtection="1"/>
    <xf numFmtId="176" fontId="20" fillId="7" borderId="9" xfId="0" quotePrefix="1" applyNumberFormat="1" applyFont="1" applyFill="1" applyBorder="1" applyAlignment="1">
      <alignment horizontal="center"/>
    </xf>
    <xf numFmtId="176" fontId="20" fillId="0" borderId="9" xfId="0" quotePrefix="1" applyNumberFormat="1" applyFont="1" applyBorder="1" applyAlignment="1">
      <alignment horizontal="center"/>
    </xf>
    <xf numFmtId="0" fontId="4" fillId="0" borderId="0" xfId="0" applyFont="1"/>
    <xf numFmtId="0" fontId="30" fillId="0" borderId="0" xfId="0" applyFont="1" applyAlignment="1" applyProtection="1">
      <alignment horizontal="center"/>
    </xf>
    <xf numFmtId="0" fontId="29" fillId="0" borderId="0" xfId="0" applyFont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27" fillId="0" borderId="72" xfId="0" applyFont="1" applyBorder="1" applyAlignment="1">
      <alignment horizontal="center" vertical="center"/>
    </xf>
    <xf numFmtId="176" fontId="29" fillId="0" borderId="37" xfId="0" applyNumberFormat="1" applyFont="1" applyBorder="1" applyAlignment="1">
      <alignment horizontal="center" vertical="center"/>
    </xf>
    <xf numFmtId="176" fontId="29" fillId="0" borderId="73" xfId="0" applyNumberFormat="1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71" xfId="0" applyFont="1" applyBorder="1" applyAlignment="1">
      <alignment horizontal="center" vertical="center"/>
    </xf>
    <xf numFmtId="0" fontId="26" fillId="0" borderId="76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76" fontId="29" fillId="0" borderId="31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53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176" fontId="3" fillId="0" borderId="30" xfId="0" applyNumberFormat="1" applyFont="1" applyBorder="1" applyAlignment="1">
      <alignment horizontal="center" vertical="center"/>
    </xf>
    <xf numFmtId="176" fontId="3" fillId="0" borderId="29" xfId="0" applyNumberFormat="1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5" fillId="0" borderId="20" xfId="0" applyFont="1" applyBorder="1"/>
    <xf numFmtId="0" fontId="3" fillId="0" borderId="22" xfId="0" applyFont="1" applyBorder="1" applyAlignment="1">
      <alignment horizontal="center" vertical="center"/>
    </xf>
    <xf numFmtId="0" fontId="15" fillId="0" borderId="19" xfId="0" applyFont="1" applyBorder="1"/>
    <xf numFmtId="0" fontId="3" fillId="0" borderId="21" xfId="0" applyFont="1" applyBorder="1" applyAlignment="1">
      <alignment horizontal="center" vertical="center"/>
    </xf>
    <xf numFmtId="0" fontId="3" fillId="0" borderId="77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3" fillId="0" borderId="10" xfId="0" applyFont="1" applyBorder="1" applyAlignment="1">
      <alignment horizontal="center" vertical="center" textRotation="255"/>
    </xf>
    <xf numFmtId="0" fontId="23" fillId="0" borderId="11" xfId="0" applyFont="1" applyBorder="1" applyAlignment="1">
      <alignment horizontal="center" vertical="center" textRotation="255"/>
    </xf>
    <xf numFmtId="0" fontId="23" fillId="0" borderId="12" xfId="0" applyFont="1" applyBorder="1" applyAlignment="1">
      <alignment horizontal="center" vertical="center" textRotation="255"/>
    </xf>
    <xf numFmtId="0" fontId="23" fillId="7" borderId="10" xfId="0" applyFont="1" applyFill="1" applyBorder="1" applyAlignment="1">
      <alignment horizontal="center" vertical="center" textRotation="255"/>
    </xf>
    <xf numFmtId="0" fontId="25" fillId="8" borderId="11" xfId="0" applyFont="1" applyFill="1" applyBorder="1"/>
    <xf numFmtId="0" fontId="25" fillId="8" borderId="12" xfId="0" applyFont="1" applyFill="1" applyBorder="1"/>
    <xf numFmtId="0" fontId="26" fillId="3" borderId="52" xfId="0" applyFont="1" applyFill="1" applyBorder="1" applyAlignment="1">
      <alignment horizontal="center" vertical="top"/>
    </xf>
    <xf numFmtId="0" fontId="16" fillId="3" borderId="53" xfId="0" applyFont="1" applyFill="1" applyBorder="1" applyAlignment="1">
      <alignment horizontal="center" vertical="top"/>
    </xf>
    <xf numFmtId="0" fontId="16" fillId="3" borderId="54" xfId="0" applyFont="1" applyFill="1" applyBorder="1" applyAlignment="1">
      <alignment horizontal="center" vertical="top"/>
    </xf>
    <xf numFmtId="0" fontId="16" fillId="3" borderId="55" xfId="0" applyFont="1" applyFill="1" applyBorder="1" applyAlignment="1">
      <alignment horizontal="center" vertical="top"/>
    </xf>
    <xf numFmtId="0" fontId="26" fillId="0" borderId="33" xfId="0" applyFont="1" applyBorder="1" applyAlignment="1">
      <alignment horizontal="center" vertical="top"/>
    </xf>
    <xf numFmtId="0" fontId="26" fillId="0" borderId="39" xfId="0" applyFont="1" applyBorder="1" applyAlignment="1">
      <alignment horizontal="center" vertical="top"/>
    </xf>
    <xf numFmtId="0" fontId="26" fillId="0" borderId="34" xfId="0" applyFont="1" applyBorder="1" applyAlignment="1">
      <alignment horizontal="center" vertical="top"/>
    </xf>
    <xf numFmtId="0" fontId="26" fillId="0" borderId="40" xfId="0" applyFont="1" applyBorder="1" applyAlignment="1">
      <alignment horizontal="center" vertical="top"/>
    </xf>
    <xf numFmtId="0" fontId="26" fillId="0" borderId="35" xfId="0" applyFont="1" applyBorder="1" applyAlignment="1">
      <alignment horizontal="center" vertical="top"/>
    </xf>
    <xf numFmtId="0" fontId="26" fillId="0" borderId="41" xfId="0" applyFont="1" applyBorder="1" applyAlignment="1">
      <alignment horizontal="center" vertical="top"/>
    </xf>
    <xf numFmtId="0" fontId="26" fillId="0" borderId="56" xfId="0" applyFont="1" applyBorder="1" applyAlignment="1">
      <alignment horizontal="center" vertical="top"/>
    </xf>
    <xf numFmtId="0" fontId="26" fillId="0" borderId="59" xfId="0" applyFont="1" applyBorder="1" applyAlignment="1">
      <alignment horizontal="center" vertical="top"/>
    </xf>
    <xf numFmtId="0" fontId="26" fillId="0" borderId="52" xfId="0" applyFont="1" applyBorder="1" applyAlignment="1">
      <alignment horizontal="center" vertical="top"/>
    </xf>
    <xf numFmtId="0" fontId="26" fillId="0" borderId="57" xfId="0" applyFont="1" applyBorder="1" applyAlignment="1">
      <alignment horizontal="center" vertical="top"/>
    </xf>
    <xf numFmtId="0" fontId="26" fillId="0" borderId="60" xfId="0" applyFont="1" applyBorder="1" applyAlignment="1">
      <alignment horizontal="center" vertical="top"/>
    </xf>
    <xf numFmtId="0" fontId="26" fillId="0" borderId="45" xfId="0" applyFont="1" applyBorder="1" applyAlignment="1">
      <alignment horizontal="center" vertical="top"/>
    </xf>
    <xf numFmtId="0" fontId="3" fillId="0" borderId="32" xfId="0" applyFont="1" applyBorder="1" applyAlignment="1">
      <alignment horizontal="center" vertical="center"/>
    </xf>
    <xf numFmtId="0" fontId="15" fillId="0" borderId="50" xfId="0" applyFont="1" applyBorder="1"/>
    <xf numFmtId="0" fontId="3" fillId="0" borderId="0" xfId="0" applyFont="1" applyBorder="1" applyAlignment="1">
      <alignment horizontal="center" vertical="center"/>
    </xf>
    <xf numFmtId="0" fontId="15" fillId="0" borderId="49" xfId="0" applyFont="1" applyBorder="1"/>
    <xf numFmtId="176" fontId="3" fillId="0" borderId="0" xfId="0" applyNumberFormat="1" applyFont="1" applyBorder="1" applyAlignment="1">
      <alignment horizontal="center" vertical="center"/>
    </xf>
    <xf numFmtId="176" fontId="15" fillId="0" borderId="49" xfId="0" applyNumberFormat="1" applyFont="1" applyBorder="1"/>
    <xf numFmtId="0" fontId="14" fillId="0" borderId="13" xfId="0" applyFont="1" applyBorder="1" applyAlignment="1">
      <alignment horizontal="center" vertical="center"/>
    </xf>
    <xf numFmtId="0" fontId="14" fillId="0" borderId="51" xfId="0" applyFont="1" applyBorder="1" applyAlignment="1">
      <alignment horizontal="center" vertical="center"/>
    </xf>
    <xf numFmtId="0" fontId="23" fillId="7" borderId="11" xfId="0" applyFont="1" applyFill="1" applyBorder="1" applyAlignment="1">
      <alignment horizontal="center" vertical="center" textRotation="255"/>
    </xf>
    <xf numFmtId="0" fontId="23" fillId="7" borderId="12" xfId="0" applyFont="1" applyFill="1" applyBorder="1" applyAlignment="1">
      <alignment horizontal="center" vertical="center" textRotation="255"/>
    </xf>
    <xf numFmtId="0" fontId="24" fillId="0" borderId="10" xfId="0" applyFont="1" applyBorder="1" applyAlignment="1">
      <alignment horizontal="center" vertical="center" textRotation="255"/>
    </xf>
    <xf numFmtId="0" fontId="25" fillId="0" borderId="11" xfId="0" applyFont="1" applyBorder="1"/>
    <xf numFmtId="0" fontId="25" fillId="0" borderId="12" xfId="0" applyFont="1" applyBorder="1"/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22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5" fillId="0" borderId="18" xfId="0" applyFont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26" xfId="0" applyFont="1" applyFill="1" applyBorder="1" applyAlignment="1">
      <alignment horizontal="center" vertical="center"/>
    </xf>
    <xf numFmtId="0" fontId="8" fillId="6" borderId="48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distributed" vertical="center"/>
    </xf>
    <xf numFmtId="0" fontId="7" fillId="5" borderId="47" xfId="0" applyFont="1" applyFill="1" applyBorder="1" applyAlignment="1">
      <alignment horizontal="distributed" vertical="center"/>
    </xf>
    <xf numFmtId="0" fontId="7" fillId="5" borderId="15" xfId="0" applyFont="1" applyFill="1" applyBorder="1" applyAlignment="1">
      <alignment horizontal="center" vertical="top"/>
    </xf>
    <xf numFmtId="0" fontId="7" fillId="5" borderId="26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9" xfId="0" applyNumberFormat="1" applyFont="1" applyBorder="1"/>
    <xf numFmtId="176" fontId="3" fillId="0" borderId="17" xfId="0" applyNumberFormat="1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58" xfId="0" applyFont="1" applyBorder="1" applyAlignment="1">
      <alignment horizontal="center" vertical="top"/>
    </xf>
    <xf numFmtId="0" fontId="26" fillId="0" borderId="53" xfId="0" applyFont="1" applyBorder="1" applyAlignment="1">
      <alignment horizontal="center" vertical="top"/>
    </xf>
    <xf numFmtId="0" fontId="26" fillId="0" borderId="61" xfId="0" applyFont="1" applyBorder="1" applyAlignment="1">
      <alignment horizontal="center" vertical="top"/>
    </xf>
    <xf numFmtId="0" fontId="26" fillId="0" borderId="62" xfId="0" applyFont="1" applyBorder="1" applyAlignment="1">
      <alignment horizontal="center" vertical="top"/>
    </xf>
    <xf numFmtId="0" fontId="19" fillId="0" borderId="27" xfId="0" applyFont="1" applyBorder="1" applyAlignment="1">
      <alignment horizontal="center" vertical="top"/>
    </xf>
    <xf numFmtId="0" fontId="15" fillId="0" borderId="28" xfId="0" applyFont="1" applyBorder="1"/>
    <xf numFmtId="0" fontId="15" fillId="0" borderId="32" xfId="0" applyFont="1" applyBorder="1"/>
    <xf numFmtId="0" fontId="27" fillId="0" borderId="39" xfId="0" applyFont="1" applyBorder="1" applyAlignment="1">
      <alignment horizontal="center" vertical="center"/>
    </xf>
    <xf numFmtId="176" fontId="29" fillId="0" borderId="40" xfId="0" applyNumberFormat="1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41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0" fontId="26" fillId="0" borderId="61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48828" y="8778128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39</xdr:row>
          <xdr:rowOff>180975</xdr:rowOff>
        </xdr:from>
        <xdr:to>
          <xdr:col>17</xdr:col>
          <xdr:colOff>781050</xdr:colOff>
          <xdr:row>44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6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W62"/>
  <sheetViews>
    <sheetView tabSelected="1" zoomScale="85" zoomScaleNormal="85" workbookViewId="0">
      <selection sqref="A1:B1"/>
    </sheetView>
  </sheetViews>
  <sheetFormatPr defaultColWidth="12.5703125" defaultRowHeight="15" customHeight="1" x14ac:dyDescent="0.25"/>
  <cols>
    <col min="1" max="1" width="4.42578125" style="9" customWidth="1"/>
    <col min="2" max="2" width="8.7109375" style="9" customWidth="1"/>
    <col min="3" max="3" width="2.28515625" style="9" customWidth="1"/>
    <col min="4" max="11" width="7.7109375" style="9" customWidth="1"/>
    <col min="12" max="12" width="5.7109375" style="9" customWidth="1"/>
    <col min="13" max="13" width="2.7109375" style="9" customWidth="1"/>
    <col min="14" max="14" width="7.7109375" style="19" customWidth="1"/>
    <col min="15" max="15" width="12.7109375" style="9" customWidth="1"/>
    <col min="16" max="16" width="2.7109375" style="9" customWidth="1"/>
    <col min="17" max="17" width="4.7109375" style="9" customWidth="1"/>
    <col min="18" max="18" width="12.140625" style="9" customWidth="1"/>
    <col min="19" max="16384" width="12.5703125" style="9"/>
  </cols>
  <sheetData>
    <row r="1" spans="1:23" ht="15.75" customHeight="1" thickTop="1" thickBot="1" x14ac:dyDescent="0.5">
      <c r="A1" s="112" t="s">
        <v>0</v>
      </c>
      <c r="B1" s="113"/>
      <c r="D1" s="114" t="s">
        <v>8</v>
      </c>
      <c r="E1" s="115"/>
      <c r="F1" s="115"/>
      <c r="G1" s="115"/>
      <c r="H1" s="115"/>
      <c r="I1" s="115"/>
      <c r="J1" s="115"/>
      <c r="K1" s="115"/>
      <c r="L1" s="115"/>
      <c r="M1" s="115"/>
      <c r="N1" s="20"/>
      <c r="O1" s="76" t="s">
        <v>10</v>
      </c>
      <c r="P1" s="76"/>
      <c r="Q1" s="76"/>
      <c r="R1" s="76"/>
    </row>
    <row r="2" spans="1:23" ht="15.75" customHeight="1" x14ac:dyDescent="0.45">
      <c r="A2" s="10">
        <v>1</v>
      </c>
      <c r="B2" s="2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20"/>
      <c r="O2" s="76"/>
      <c r="P2" s="76"/>
      <c r="Q2" s="76"/>
      <c r="R2" s="76"/>
      <c r="T2" s="26"/>
      <c r="U2" s="26"/>
      <c r="V2" s="26"/>
    </row>
    <row r="3" spans="1:23" ht="15.75" customHeight="1" x14ac:dyDescent="0.45">
      <c r="A3" s="11">
        <v>2</v>
      </c>
      <c r="B3" s="3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20"/>
      <c r="O3" s="54">
        <f ca="1">TODAY()</f>
        <v>45176</v>
      </c>
      <c r="P3" s="55"/>
      <c r="Q3" s="55"/>
      <c r="R3" s="55"/>
    </row>
    <row r="4" spans="1:23" ht="15.75" customHeight="1" thickBot="1" x14ac:dyDescent="0.3">
      <c r="A4" s="11">
        <v>3</v>
      </c>
      <c r="B4" s="3"/>
      <c r="C4" s="12"/>
      <c r="D4" s="63" t="s">
        <v>17</v>
      </c>
      <c r="E4" s="63"/>
      <c r="F4" s="117"/>
      <c r="G4" s="117"/>
      <c r="H4" s="131" t="str">
        <f>IF(COUNTIF(B2:B55, "*")&gt;0, COUNTIF(B2:B55, "*"), "全班人數:        人")</f>
        <v>全班人數:        人</v>
      </c>
      <c r="I4" s="131"/>
      <c r="J4" s="131"/>
      <c r="K4" s="131"/>
    </row>
    <row r="5" spans="1:23" ht="15.75" customHeight="1" x14ac:dyDescent="0.25">
      <c r="A5" s="11">
        <v>4</v>
      </c>
      <c r="B5" s="3"/>
      <c r="C5" s="12"/>
      <c r="D5" s="63"/>
      <c r="E5" s="63"/>
      <c r="F5" s="117"/>
      <c r="G5" s="117"/>
      <c r="H5" s="131"/>
      <c r="I5" s="131"/>
      <c r="J5" s="131"/>
      <c r="K5" s="131"/>
      <c r="O5" s="127" t="s">
        <v>15</v>
      </c>
      <c r="P5" s="129" t="s">
        <v>16</v>
      </c>
      <c r="Q5" s="123"/>
      <c r="R5" s="124"/>
      <c r="T5" s="26"/>
      <c r="U5" s="26"/>
      <c r="V5" s="26"/>
    </row>
    <row r="6" spans="1:23" ht="15.75" customHeight="1" thickBot="1" x14ac:dyDescent="0.3">
      <c r="A6" s="13">
        <v>5</v>
      </c>
      <c r="B6" s="4"/>
      <c r="O6" s="128"/>
      <c r="P6" s="130"/>
      <c r="Q6" s="125"/>
      <c r="R6" s="126"/>
      <c r="T6" s="26"/>
      <c r="U6" s="26"/>
      <c r="V6" s="26"/>
    </row>
    <row r="7" spans="1:23" ht="15.75" customHeight="1" thickTop="1" thickBot="1" x14ac:dyDescent="0.3">
      <c r="A7" s="10">
        <v>6</v>
      </c>
      <c r="B7" s="2"/>
      <c r="D7" s="28"/>
      <c r="E7" s="27"/>
      <c r="F7" s="28"/>
      <c r="G7" s="27"/>
      <c r="H7" s="28"/>
      <c r="I7" s="25"/>
      <c r="J7" s="28"/>
      <c r="K7" s="27"/>
      <c r="L7" s="22" t="s">
        <v>1</v>
      </c>
      <c r="M7" s="116">
        <v>6</v>
      </c>
      <c r="N7" s="23"/>
      <c r="O7" s="119" t="s">
        <v>28</v>
      </c>
      <c r="P7" s="121" t="s">
        <v>7</v>
      </c>
      <c r="Q7" s="133"/>
      <c r="R7" s="122" t="str">
        <f>IF(Q7&gt;0, VLOOKUP(Q7, $A$2:$B$50, 2), "")</f>
        <v/>
      </c>
      <c r="S7" s="30" t="s">
        <v>35</v>
      </c>
      <c r="T7" s="30"/>
      <c r="U7" s="31">
        <v>1</v>
      </c>
      <c r="V7" s="19"/>
      <c r="W7" s="55"/>
    </row>
    <row r="8" spans="1:23" ht="15.75" customHeight="1" x14ac:dyDescent="0.25">
      <c r="A8" s="11">
        <v>7</v>
      </c>
      <c r="B8" s="3"/>
      <c r="D8" s="77" t="str">
        <f t="shared" ref="D8:K8" si="0">IF(AND(ISNUMBER(D7), D7&gt;0), VLOOKUP(D7, $A$2:$B$50, 2), "")</f>
        <v/>
      </c>
      <c r="E8" s="80" t="str">
        <f t="shared" si="0"/>
        <v/>
      </c>
      <c r="F8" s="77" t="str">
        <f t="shared" si="0"/>
        <v/>
      </c>
      <c r="G8" s="80" t="str">
        <f t="shared" si="0"/>
        <v/>
      </c>
      <c r="H8" s="77" t="str">
        <f t="shared" si="0"/>
        <v/>
      </c>
      <c r="I8" s="80" t="str">
        <f t="shared" si="0"/>
        <v/>
      </c>
      <c r="J8" s="77" t="str">
        <f t="shared" si="0"/>
        <v/>
      </c>
      <c r="K8" s="80" t="str">
        <f t="shared" si="0"/>
        <v/>
      </c>
      <c r="L8" s="109" t="s">
        <v>2</v>
      </c>
      <c r="M8" s="110"/>
      <c r="N8" s="24"/>
      <c r="O8" s="74"/>
      <c r="P8" s="75"/>
      <c r="Q8" s="66"/>
      <c r="R8" s="73"/>
      <c r="S8" s="30"/>
      <c r="T8" s="30"/>
      <c r="U8" s="31"/>
      <c r="V8" s="19"/>
      <c r="W8" s="55"/>
    </row>
    <row r="9" spans="1:23" ht="15.75" customHeight="1" x14ac:dyDescent="0.25">
      <c r="A9" s="11">
        <v>8</v>
      </c>
      <c r="B9" s="3"/>
      <c r="D9" s="78"/>
      <c r="E9" s="107"/>
      <c r="F9" s="78"/>
      <c r="G9" s="107"/>
      <c r="H9" s="78"/>
      <c r="I9" s="107"/>
      <c r="J9" s="78"/>
      <c r="K9" s="107"/>
      <c r="L9" s="110"/>
      <c r="M9" s="110"/>
      <c r="N9" s="24"/>
      <c r="O9" s="71" t="s">
        <v>29</v>
      </c>
      <c r="P9" s="120" t="s">
        <v>3</v>
      </c>
      <c r="Q9" s="65"/>
      <c r="R9" s="67" t="str">
        <f>IF(Q9&gt;0, VLOOKUP(Q9, $A$2:$B$50, 2), "")</f>
        <v/>
      </c>
    </row>
    <row r="10" spans="1:23" ht="15.75" customHeight="1" x14ac:dyDescent="0.25">
      <c r="A10" s="11">
        <v>9</v>
      </c>
      <c r="B10" s="3"/>
      <c r="D10" s="78"/>
      <c r="E10" s="107"/>
      <c r="F10" s="78"/>
      <c r="G10" s="107"/>
      <c r="H10" s="78"/>
      <c r="I10" s="107"/>
      <c r="J10" s="78"/>
      <c r="K10" s="107"/>
      <c r="L10" s="110"/>
      <c r="M10" s="110"/>
      <c r="N10" s="24"/>
      <c r="O10" s="74"/>
      <c r="P10" s="70"/>
      <c r="Q10" s="66"/>
      <c r="R10" s="73"/>
    </row>
    <row r="11" spans="1:23" ht="15.75" customHeight="1" thickBot="1" x14ac:dyDescent="0.3">
      <c r="A11" s="13">
        <v>10</v>
      </c>
      <c r="B11" s="4"/>
      <c r="D11" s="78"/>
      <c r="E11" s="107"/>
      <c r="F11" s="78"/>
      <c r="G11" s="107"/>
      <c r="H11" s="78"/>
      <c r="I11" s="107"/>
      <c r="J11" s="78"/>
      <c r="K11" s="107"/>
      <c r="L11" s="110"/>
      <c r="M11" s="110"/>
      <c r="N11" s="24"/>
      <c r="O11" s="71" t="s">
        <v>4</v>
      </c>
      <c r="P11" s="120" t="s">
        <v>3</v>
      </c>
      <c r="Q11" s="65"/>
      <c r="R11" s="67" t="str">
        <f>IF(Q11&gt;0, VLOOKUP(Q11, $A$2:$B$50, 2), "")</f>
        <v/>
      </c>
    </row>
    <row r="12" spans="1:23" ht="15.75" customHeight="1" thickTop="1" thickBot="1" x14ac:dyDescent="0.3">
      <c r="A12" s="10">
        <v>11</v>
      </c>
      <c r="B12" s="2"/>
      <c r="D12" s="79"/>
      <c r="E12" s="108"/>
      <c r="F12" s="79"/>
      <c r="G12" s="108"/>
      <c r="H12" s="79"/>
      <c r="I12" s="108"/>
      <c r="J12" s="79"/>
      <c r="K12" s="108"/>
      <c r="L12" s="111"/>
      <c r="M12" s="111"/>
      <c r="N12" s="24"/>
      <c r="O12" s="74"/>
      <c r="P12" s="70"/>
      <c r="Q12" s="66"/>
      <c r="R12" s="68"/>
    </row>
    <row r="13" spans="1:23" ht="15.75" customHeight="1" thickBot="1" x14ac:dyDescent="0.3">
      <c r="A13" s="11">
        <v>12</v>
      </c>
      <c r="B13" s="3"/>
      <c r="D13" s="21"/>
      <c r="E13" s="25"/>
      <c r="F13" s="21"/>
      <c r="G13" s="25"/>
      <c r="H13" s="28"/>
      <c r="I13" s="25"/>
      <c r="J13" s="21"/>
      <c r="K13" s="25"/>
      <c r="L13" s="22" t="s">
        <v>1</v>
      </c>
      <c r="M13" s="116">
        <v>5</v>
      </c>
      <c r="N13" s="23"/>
      <c r="O13" s="71" t="s">
        <v>5</v>
      </c>
      <c r="P13" s="69" t="s">
        <v>3</v>
      </c>
      <c r="Q13" s="65"/>
      <c r="R13" s="67" t="str">
        <f>IF(Q13&gt;0, VLOOKUP(Q13, $A$2:$B$50, 2), "")</f>
        <v/>
      </c>
    </row>
    <row r="14" spans="1:23" ht="15.75" customHeight="1" x14ac:dyDescent="0.25">
      <c r="A14" s="11">
        <v>13</v>
      </c>
      <c r="B14" s="5"/>
      <c r="D14" s="77" t="str">
        <f t="shared" ref="D14:K14" si="1">IF(AND(ISNUMBER(D13), D13&gt;0), VLOOKUP(D13, $A$2:$B$50, 2), "")</f>
        <v/>
      </c>
      <c r="E14" s="80" t="str">
        <f t="shared" si="1"/>
        <v/>
      </c>
      <c r="F14" s="77" t="str">
        <f t="shared" si="1"/>
        <v/>
      </c>
      <c r="G14" s="80" t="str">
        <f t="shared" si="1"/>
        <v/>
      </c>
      <c r="H14" s="77" t="str">
        <f t="shared" si="1"/>
        <v/>
      </c>
      <c r="I14" s="80" t="str">
        <f t="shared" si="1"/>
        <v/>
      </c>
      <c r="J14" s="77" t="str">
        <f t="shared" si="1"/>
        <v/>
      </c>
      <c r="K14" s="80" t="str">
        <f t="shared" si="1"/>
        <v/>
      </c>
      <c r="L14" s="109" t="s">
        <v>2</v>
      </c>
      <c r="M14" s="110"/>
      <c r="N14" s="24"/>
      <c r="O14" s="74"/>
      <c r="P14" s="70"/>
      <c r="Q14" s="66"/>
      <c r="R14" s="73"/>
      <c r="U14" s="134" t="s">
        <v>37</v>
      </c>
    </row>
    <row r="15" spans="1:23" ht="15.75" customHeight="1" x14ac:dyDescent="0.25">
      <c r="A15" s="11">
        <v>14</v>
      </c>
      <c r="B15" s="3"/>
      <c r="D15" s="78"/>
      <c r="E15" s="81"/>
      <c r="F15" s="110"/>
      <c r="G15" s="81"/>
      <c r="H15" s="110"/>
      <c r="I15" s="81"/>
      <c r="J15" s="110"/>
      <c r="K15" s="81"/>
      <c r="L15" s="110"/>
      <c r="M15" s="110"/>
      <c r="N15" s="24"/>
      <c r="O15" s="71" t="s">
        <v>30</v>
      </c>
      <c r="P15" s="69" t="s">
        <v>3</v>
      </c>
      <c r="Q15" s="65"/>
      <c r="R15" s="67" t="str">
        <f>IF(Q15&gt;0, VLOOKUP(Q15, $A$2:$B$50, 2), "")</f>
        <v/>
      </c>
      <c r="U15" s="135"/>
    </row>
    <row r="16" spans="1:23" ht="15.75" customHeight="1" thickBot="1" x14ac:dyDescent="0.3">
      <c r="A16" s="13">
        <v>15</v>
      </c>
      <c r="B16" s="4"/>
      <c r="D16" s="78"/>
      <c r="E16" s="81"/>
      <c r="F16" s="110"/>
      <c r="G16" s="81"/>
      <c r="H16" s="110"/>
      <c r="I16" s="81"/>
      <c r="J16" s="110"/>
      <c r="K16" s="81"/>
      <c r="L16" s="110"/>
      <c r="M16" s="110"/>
      <c r="N16" s="24"/>
      <c r="O16" s="74"/>
      <c r="P16" s="75"/>
      <c r="Q16" s="66"/>
      <c r="R16" s="68"/>
      <c r="U16" s="55"/>
    </row>
    <row r="17" spans="1:21" ht="15.75" customHeight="1" thickTop="1" x14ac:dyDescent="0.25">
      <c r="A17" s="10">
        <v>16</v>
      </c>
      <c r="B17" s="2"/>
      <c r="D17" s="78"/>
      <c r="E17" s="81"/>
      <c r="F17" s="110"/>
      <c r="G17" s="81"/>
      <c r="H17" s="110"/>
      <c r="I17" s="81"/>
      <c r="J17" s="110"/>
      <c r="K17" s="81"/>
      <c r="L17" s="110"/>
      <c r="M17" s="110"/>
      <c r="N17" s="24"/>
      <c r="O17" s="71" t="s">
        <v>31</v>
      </c>
      <c r="P17" s="69" t="s">
        <v>3</v>
      </c>
      <c r="Q17" s="65"/>
      <c r="R17" s="67" t="str">
        <f>IF(Q17&gt;0, VLOOKUP(Q17, $A$2:$B$50, 2), "")</f>
        <v/>
      </c>
      <c r="U17" s="55"/>
    </row>
    <row r="18" spans="1:21" ht="15.75" customHeight="1" thickBot="1" x14ac:dyDescent="0.3">
      <c r="A18" s="11">
        <v>17</v>
      </c>
      <c r="B18" s="3"/>
      <c r="D18" s="79"/>
      <c r="E18" s="82"/>
      <c r="F18" s="111"/>
      <c r="G18" s="82"/>
      <c r="H18" s="111"/>
      <c r="I18" s="82"/>
      <c r="J18" s="111"/>
      <c r="K18" s="82"/>
      <c r="L18" s="111"/>
      <c r="M18" s="111"/>
      <c r="N18" s="24"/>
      <c r="O18" s="74"/>
      <c r="P18" s="70"/>
      <c r="Q18" s="66"/>
      <c r="R18" s="73"/>
    </row>
    <row r="19" spans="1:21" ht="15.75" customHeight="1" thickBot="1" x14ac:dyDescent="0.3">
      <c r="A19" s="11">
        <v>18</v>
      </c>
      <c r="B19" s="3"/>
      <c r="D19" s="21"/>
      <c r="E19" s="25"/>
      <c r="F19" s="21"/>
      <c r="G19" s="25"/>
      <c r="H19" s="21"/>
      <c r="I19" s="25"/>
      <c r="J19" s="21"/>
      <c r="K19" s="25"/>
      <c r="L19" s="22" t="s">
        <v>1</v>
      </c>
      <c r="M19" s="116">
        <v>4</v>
      </c>
      <c r="N19" s="23"/>
      <c r="O19" s="71" t="s">
        <v>32</v>
      </c>
      <c r="P19" s="69" t="s">
        <v>3</v>
      </c>
      <c r="Q19" s="65"/>
      <c r="R19" s="67" t="str">
        <f>IF(Q19&gt;0, VLOOKUP(Q19, $A$2:$B$50, 2), "")</f>
        <v/>
      </c>
    </row>
    <row r="20" spans="1:21" ht="15.75" customHeight="1" x14ac:dyDescent="0.25">
      <c r="A20" s="11">
        <v>19</v>
      </c>
      <c r="B20" s="3"/>
      <c r="D20" s="77" t="str">
        <f t="shared" ref="D20:K20" si="2">IF(AND(ISNUMBER(D19), D19&gt;0), VLOOKUP(D19, $A$2:$B$50, 2), "")</f>
        <v/>
      </c>
      <c r="E20" s="80" t="str">
        <f t="shared" si="2"/>
        <v/>
      </c>
      <c r="F20" s="77" t="str">
        <f t="shared" si="2"/>
        <v/>
      </c>
      <c r="G20" s="80" t="str">
        <f t="shared" si="2"/>
        <v/>
      </c>
      <c r="H20" s="77" t="str">
        <f t="shared" si="2"/>
        <v/>
      </c>
      <c r="I20" s="80" t="str">
        <f t="shared" si="2"/>
        <v/>
      </c>
      <c r="J20" s="77" t="str">
        <f t="shared" si="2"/>
        <v/>
      </c>
      <c r="K20" s="80" t="str">
        <f t="shared" si="2"/>
        <v/>
      </c>
      <c r="L20" s="109" t="s">
        <v>2</v>
      </c>
      <c r="M20" s="110"/>
      <c r="N20" s="24"/>
      <c r="O20" s="74"/>
      <c r="P20" s="70"/>
      <c r="Q20" s="66"/>
      <c r="R20" s="73"/>
    </row>
    <row r="21" spans="1:21" ht="15.75" customHeight="1" thickBot="1" x14ac:dyDescent="0.3">
      <c r="A21" s="13">
        <v>20</v>
      </c>
      <c r="B21" s="4"/>
      <c r="D21" s="78"/>
      <c r="E21" s="107"/>
      <c r="F21" s="78"/>
      <c r="G21" s="107"/>
      <c r="H21" s="78"/>
      <c r="I21" s="107"/>
      <c r="J21" s="78"/>
      <c r="K21" s="107"/>
      <c r="L21" s="110"/>
      <c r="M21" s="110"/>
      <c r="N21" s="24"/>
      <c r="O21" s="71" t="s">
        <v>33</v>
      </c>
      <c r="P21" s="69" t="s">
        <v>3</v>
      </c>
      <c r="Q21" s="65"/>
      <c r="R21" s="67" t="str">
        <f>IF(Q21&gt;0, VLOOKUP(Q21, $A$2:$B$50, 2), "")</f>
        <v/>
      </c>
    </row>
    <row r="22" spans="1:21" ht="15.75" customHeight="1" thickTop="1" x14ac:dyDescent="0.25">
      <c r="A22" s="10">
        <v>21</v>
      </c>
      <c r="B22" s="2"/>
      <c r="D22" s="78"/>
      <c r="E22" s="107"/>
      <c r="F22" s="78"/>
      <c r="G22" s="107"/>
      <c r="H22" s="78"/>
      <c r="I22" s="107"/>
      <c r="J22" s="78"/>
      <c r="K22" s="107"/>
      <c r="L22" s="110"/>
      <c r="M22" s="110"/>
      <c r="N22" s="24"/>
      <c r="O22" s="74"/>
      <c r="P22" s="70"/>
      <c r="Q22" s="66"/>
      <c r="R22" s="73"/>
    </row>
    <row r="23" spans="1:21" ht="15.75" customHeight="1" x14ac:dyDescent="0.25">
      <c r="A23" s="11">
        <v>22</v>
      </c>
      <c r="B23" s="5"/>
      <c r="D23" s="78"/>
      <c r="E23" s="107"/>
      <c r="F23" s="78"/>
      <c r="G23" s="107"/>
      <c r="H23" s="78"/>
      <c r="I23" s="107"/>
      <c r="J23" s="78"/>
      <c r="K23" s="107"/>
      <c r="L23" s="110"/>
      <c r="M23" s="110"/>
      <c r="N23" s="24"/>
      <c r="O23" s="71" t="s">
        <v>34</v>
      </c>
      <c r="P23" s="69" t="s">
        <v>3</v>
      </c>
      <c r="Q23" s="65"/>
      <c r="R23" s="67" t="str">
        <f>IF(Q23&gt;0, VLOOKUP(Q23, $A$2:$B$50, 2), "")</f>
        <v/>
      </c>
    </row>
    <row r="24" spans="1:21" ht="15.75" customHeight="1" thickBot="1" x14ac:dyDescent="0.3">
      <c r="A24" s="11">
        <v>23</v>
      </c>
      <c r="B24" s="3"/>
      <c r="D24" s="79"/>
      <c r="E24" s="108"/>
      <c r="F24" s="79"/>
      <c r="G24" s="108"/>
      <c r="H24" s="79"/>
      <c r="I24" s="108"/>
      <c r="J24" s="79"/>
      <c r="K24" s="108"/>
      <c r="L24" s="111"/>
      <c r="M24" s="111"/>
      <c r="N24" s="24"/>
      <c r="O24" s="118"/>
      <c r="P24" s="70"/>
      <c r="Q24" s="66"/>
      <c r="R24" s="68"/>
    </row>
    <row r="25" spans="1:21" ht="15.75" customHeight="1" thickBot="1" x14ac:dyDescent="0.3">
      <c r="A25" s="11">
        <v>24</v>
      </c>
      <c r="B25" s="3"/>
      <c r="D25" s="21"/>
      <c r="E25" s="25"/>
      <c r="F25" s="21"/>
      <c r="G25" s="25"/>
      <c r="H25" s="21"/>
      <c r="I25" s="25"/>
      <c r="J25" s="21"/>
      <c r="K25" s="25"/>
      <c r="L25" s="22" t="s">
        <v>1</v>
      </c>
      <c r="M25" s="116">
        <v>3</v>
      </c>
      <c r="N25" s="23"/>
      <c r="O25" s="99" t="s">
        <v>36</v>
      </c>
      <c r="P25" s="69" t="s">
        <v>3</v>
      </c>
      <c r="Q25" s="65"/>
      <c r="R25" s="67" t="str">
        <f>IF(Q25&gt;0, VLOOKUP(Q25, $A$2:$B$50, 2), "")</f>
        <v/>
      </c>
    </row>
    <row r="26" spans="1:21" ht="15.75" customHeight="1" thickBot="1" x14ac:dyDescent="0.3">
      <c r="A26" s="14">
        <v>25</v>
      </c>
      <c r="B26" s="3"/>
      <c r="D26" s="77" t="str">
        <f t="shared" ref="D26:K26" si="3">IF(AND(ISNUMBER(D25), D25&gt;0), VLOOKUP(D25, $A$2:$B$50, 2), "")</f>
        <v/>
      </c>
      <c r="E26" s="80" t="str">
        <f t="shared" si="3"/>
        <v/>
      </c>
      <c r="F26" s="77" t="str">
        <f t="shared" si="3"/>
        <v/>
      </c>
      <c r="G26" s="80" t="str">
        <f t="shared" si="3"/>
        <v/>
      </c>
      <c r="H26" s="77" t="str">
        <f t="shared" si="3"/>
        <v/>
      </c>
      <c r="I26" s="80" t="str">
        <f t="shared" si="3"/>
        <v/>
      </c>
      <c r="J26" s="77" t="str">
        <f t="shared" si="3"/>
        <v/>
      </c>
      <c r="K26" s="80" t="str">
        <f t="shared" si="3"/>
        <v/>
      </c>
      <c r="L26" s="109" t="s">
        <v>2</v>
      </c>
      <c r="M26" s="110"/>
      <c r="N26" s="24"/>
      <c r="O26" s="142"/>
      <c r="P26" s="70"/>
      <c r="Q26" s="66"/>
      <c r="R26" s="68"/>
    </row>
    <row r="27" spans="1:21" ht="15.75" customHeight="1" x14ac:dyDescent="0.25">
      <c r="A27" s="15">
        <v>26</v>
      </c>
      <c r="B27" s="1"/>
      <c r="D27" s="78"/>
      <c r="E27" s="107"/>
      <c r="F27" s="78"/>
      <c r="G27" s="107"/>
      <c r="H27" s="78"/>
      <c r="I27" s="107"/>
      <c r="J27" s="78"/>
      <c r="K27" s="107"/>
      <c r="L27" s="110"/>
      <c r="M27" s="110"/>
      <c r="N27" s="24"/>
      <c r="O27" s="71"/>
      <c r="P27" s="69" t="s">
        <v>3</v>
      </c>
      <c r="Q27" s="65"/>
      <c r="R27" s="67" t="str">
        <f>IF(Q27&gt;0, VLOOKUP(Q27, $A$2:$B$50, 2), "")</f>
        <v/>
      </c>
    </row>
    <row r="28" spans="1:21" ht="15.75" customHeight="1" x14ac:dyDescent="0.25">
      <c r="A28" s="11">
        <v>27</v>
      </c>
      <c r="B28" s="3"/>
      <c r="D28" s="78"/>
      <c r="E28" s="107"/>
      <c r="F28" s="78"/>
      <c r="G28" s="107"/>
      <c r="H28" s="78"/>
      <c r="I28" s="107"/>
      <c r="J28" s="78"/>
      <c r="K28" s="107"/>
      <c r="L28" s="110"/>
      <c r="M28" s="110"/>
      <c r="N28" s="24"/>
      <c r="O28" s="72"/>
      <c r="P28" s="70"/>
      <c r="Q28" s="66"/>
      <c r="R28" s="68"/>
    </row>
    <row r="29" spans="1:21" ht="15.75" customHeight="1" x14ac:dyDescent="0.25">
      <c r="A29" s="11">
        <v>28</v>
      </c>
      <c r="B29" s="3"/>
      <c r="D29" s="78"/>
      <c r="E29" s="107"/>
      <c r="F29" s="78"/>
      <c r="G29" s="107"/>
      <c r="H29" s="78"/>
      <c r="I29" s="107"/>
      <c r="J29" s="78"/>
      <c r="K29" s="107"/>
      <c r="L29" s="110"/>
      <c r="M29" s="110"/>
      <c r="N29" s="24"/>
      <c r="O29" s="99"/>
      <c r="P29" s="69" t="s">
        <v>3</v>
      </c>
      <c r="Q29" s="65"/>
      <c r="R29" s="67" t="str">
        <f>IF(Q29&gt;0, VLOOKUP(Q29, $A$2:$B$50, 2), "")</f>
        <v/>
      </c>
    </row>
    <row r="30" spans="1:21" ht="15.75" customHeight="1" thickBot="1" x14ac:dyDescent="0.3">
      <c r="A30" s="11">
        <v>29</v>
      </c>
      <c r="B30" s="3"/>
      <c r="D30" s="79"/>
      <c r="E30" s="108"/>
      <c r="F30" s="79"/>
      <c r="G30" s="108"/>
      <c r="H30" s="79"/>
      <c r="I30" s="108"/>
      <c r="J30" s="79"/>
      <c r="K30" s="108"/>
      <c r="L30" s="111"/>
      <c r="M30" s="111"/>
      <c r="N30" s="24"/>
      <c r="O30" s="74"/>
      <c r="P30" s="70"/>
      <c r="Q30" s="66"/>
      <c r="R30" s="68"/>
    </row>
    <row r="31" spans="1:21" ht="15.75" customHeight="1" thickBot="1" x14ac:dyDescent="0.3">
      <c r="A31" s="13">
        <v>30</v>
      </c>
      <c r="B31" s="6"/>
      <c r="D31" s="21"/>
      <c r="E31" s="25"/>
      <c r="F31" s="21"/>
      <c r="G31" s="25"/>
      <c r="H31" s="21"/>
      <c r="I31" s="25"/>
      <c r="J31" s="21"/>
      <c r="K31" s="25"/>
      <c r="L31" s="22" t="s">
        <v>1</v>
      </c>
      <c r="M31" s="116">
        <v>2</v>
      </c>
      <c r="N31" s="23"/>
      <c r="O31" s="71"/>
      <c r="P31" s="69" t="s">
        <v>3</v>
      </c>
      <c r="Q31" s="65"/>
      <c r="R31" s="67" t="str">
        <f>IF(Q31&gt;0, VLOOKUP(Q31, $A$2:$B$50, 2), "")</f>
        <v/>
      </c>
    </row>
    <row r="32" spans="1:21" ht="15.75" customHeight="1" thickTop="1" x14ac:dyDescent="0.25">
      <c r="A32" s="10">
        <v>31</v>
      </c>
      <c r="B32" s="7"/>
      <c r="D32" s="77" t="str">
        <f t="shared" ref="D32:K32" si="4">IF(AND(ISNUMBER(D31), D31&gt;0), VLOOKUP(D31, $A$2:$B$50, 2), "")</f>
        <v/>
      </c>
      <c r="E32" s="80" t="str">
        <f t="shared" si="4"/>
        <v/>
      </c>
      <c r="F32" s="77" t="str">
        <f t="shared" si="4"/>
        <v/>
      </c>
      <c r="G32" s="80" t="str">
        <f t="shared" si="4"/>
        <v/>
      </c>
      <c r="H32" s="77" t="str">
        <f t="shared" si="4"/>
        <v/>
      </c>
      <c r="I32" s="80" t="str">
        <f t="shared" si="4"/>
        <v/>
      </c>
      <c r="J32" s="77" t="str">
        <f t="shared" si="4"/>
        <v/>
      </c>
      <c r="K32" s="80" t="str">
        <f t="shared" si="4"/>
        <v/>
      </c>
      <c r="L32" s="109" t="s">
        <v>2</v>
      </c>
      <c r="M32" s="110"/>
      <c r="N32" s="24"/>
      <c r="O32" s="74"/>
      <c r="P32" s="70"/>
      <c r="Q32" s="66"/>
      <c r="R32" s="73"/>
      <c r="S32" s="18"/>
    </row>
    <row r="33" spans="1:22" ht="15.75" customHeight="1" x14ac:dyDescent="0.25">
      <c r="A33" s="11">
        <v>32</v>
      </c>
      <c r="B33" s="3"/>
      <c r="D33" s="78"/>
      <c r="E33" s="107"/>
      <c r="F33" s="78"/>
      <c r="G33" s="107"/>
      <c r="H33" s="78"/>
      <c r="I33" s="107"/>
      <c r="J33" s="78"/>
      <c r="K33" s="107"/>
      <c r="L33" s="110"/>
      <c r="M33" s="110"/>
      <c r="N33" s="24"/>
      <c r="O33" s="71"/>
      <c r="P33" s="69" t="s">
        <v>3</v>
      </c>
      <c r="Q33" s="65"/>
      <c r="R33" s="67" t="str">
        <f>IF(Q33&gt;0, VLOOKUP(Q33, $A$2:$B$50, 2), "")</f>
        <v/>
      </c>
    </row>
    <row r="34" spans="1:22" ht="15.75" customHeight="1" x14ac:dyDescent="0.25">
      <c r="A34" s="11">
        <v>33</v>
      </c>
      <c r="B34" s="3"/>
      <c r="D34" s="78"/>
      <c r="E34" s="107"/>
      <c r="F34" s="78"/>
      <c r="G34" s="107"/>
      <c r="H34" s="78"/>
      <c r="I34" s="107"/>
      <c r="J34" s="78"/>
      <c r="K34" s="107"/>
      <c r="L34" s="110"/>
      <c r="M34" s="110"/>
      <c r="N34" s="24"/>
      <c r="O34" s="118"/>
      <c r="P34" s="70"/>
      <c r="Q34" s="132"/>
      <c r="R34" s="73"/>
    </row>
    <row r="35" spans="1:22" ht="15.75" customHeight="1" x14ac:dyDescent="0.25">
      <c r="A35" s="11">
        <v>34</v>
      </c>
      <c r="B35" s="3"/>
      <c r="D35" s="78"/>
      <c r="E35" s="107"/>
      <c r="F35" s="78"/>
      <c r="G35" s="107"/>
      <c r="H35" s="78"/>
      <c r="I35" s="107"/>
      <c r="J35" s="78"/>
      <c r="K35" s="107"/>
      <c r="L35" s="110"/>
      <c r="M35" s="110"/>
      <c r="N35" s="24"/>
      <c r="O35" s="99"/>
      <c r="P35" s="101" t="s">
        <v>3</v>
      </c>
      <c r="Q35" s="103"/>
      <c r="R35" s="105" t="str">
        <f>IF(Q35&gt;0, VLOOKUP(Q35, $A$2:$B$50, 2), "")</f>
        <v/>
      </c>
      <c r="S35" s="18"/>
      <c r="T35" s="18"/>
      <c r="U35" s="18"/>
      <c r="V35" s="18"/>
    </row>
    <row r="36" spans="1:22" ht="15.75" customHeight="1" thickBot="1" x14ac:dyDescent="0.3">
      <c r="A36" s="13">
        <v>35</v>
      </c>
      <c r="B36" s="4"/>
      <c r="D36" s="79"/>
      <c r="E36" s="108"/>
      <c r="F36" s="79"/>
      <c r="G36" s="108"/>
      <c r="H36" s="79"/>
      <c r="I36" s="108"/>
      <c r="J36" s="79"/>
      <c r="K36" s="108"/>
      <c r="L36" s="111"/>
      <c r="M36" s="111"/>
      <c r="N36" s="24"/>
      <c r="O36" s="100"/>
      <c r="P36" s="102"/>
      <c r="Q36" s="104"/>
      <c r="R36" s="106"/>
      <c r="S36" s="18"/>
      <c r="T36" s="18"/>
      <c r="U36" s="18"/>
      <c r="V36" s="18"/>
    </row>
    <row r="37" spans="1:22" ht="15.75" customHeight="1" thickTop="1" thickBot="1" x14ac:dyDescent="0.3">
      <c r="A37" s="10">
        <v>36</v>
      </c>
      <c r="B37" s="2"/>
      <c r="D37" s="21"/>
      <c r="E37" s="25"/>
      <c r="F37" s="21"/>
      <c r="G37" s="25"/>
      <c r="H37" s="21"/>
      <c r="I37" s="25"/>
      <c r="J37" s="21"/>
      <c r="K37" s="25"/>
      <c r="L37" s="22" t="s">
        <v>1</v>
      </c>
      <c r="M37" s="116">
        <v>1</v>
      </c>
      <c r="N37" s="23"/>
      <c r="S37" s="18"/>
      <c r="T37" s="18"/>
      <c r="U37" s="18"/>
      <c r="V37" s="18"/>
    </row>
    <row r="38" spans="1:22" ht="15.75" customHeight="1" x14ac:dyDescent="0.25">
      <c r="A38" s="11">
        <v>37</v>
      </c>
      <c r="B38" s="3"/>
      <c r="D38" s="77" t="str">
        <f t="shared" ref="D38:K38" si="5">IF(AND(ISNUMBER(D37), D37&gt;0), VLOOKUP(D37, $A$2:$B$50, 2), "")</f>
        <v/>
      </c>
      <c r="E38" s="80" t="str">
        <f t="shared" si="5"/>
        <v/>
      </c>
      <c r="F38" s="77" t="str">
        <f t="shared" si="5"/>
        <v/>
      </c>
      <c r="G38" s="80" t="str">
        <f t="shared" si="5"/>
        <v/>
      </c>
      <c r="H38" s="77" t="str">
        <f t="shared" si="5"/>
        <v/>
      </c>
      <c r="I38" s="80" t="str">
        <f t="shared" si="5"/>
        <v/>
      </c>
      <c r="J38" s="77" t="str">
        <f t="shared" si="5"/>
        <v/>
      </c>
      <c r="K38" s="80" t="str">
        <f t="shared" si="5"/>
        <v/>
      </c>
      <c r="L38" s="109" t="s">
        <v>2</v>
      </c>
      <c r="M38" s="110"/>
      <c r="N38" s="24"/>
      <c r="S38" s="18"/>
      <c r="T38" s="18"/>
      <c r="U38" s="18"/>
      <c r="V38" s="18"/>
    </row>
    <row r="39" spans="1:22" ht="15.75" customHeight="1" x14ac:dyDescent="0.25">
      <c r="A39" s="11">
        <v>38</v>
      </c>
      <c r="B39" s="3"/>
      <c r="D39" s="78"/>
      <c r="E39" s="107"/>
      <c r="F39" s="78"/>
      <c r="G39" s="107"/>
      <c r="H39" s="78"/>
      <c r="I39" s="107"/>
      <c r="J39" s="78"/>
      <c r="K39" s="107"/>
      <c r="L39" s="110"/>
      <c r="M39" s="110"/>
      <c r="N39" s="24"/>
      <c r="S39" s="18"/>
      <c r="T39" s="18"/>
      <c r="U39" s="18"/>
      <c r="V39" s="18"/>
    </row>
    <row r="40" spans="1:22" ht="15.75" customHeight="1" x14ac:dyDescent="0.25">
      <c r="A40" s="11">
        <v>39</v>
      </c>
      <c r="B40" s="8"/>
      <c r="D40" s="78"/>
      <c r="E40" s="107"/>
      <c r="F40" s="78"/>
      <c r="G40" s="107"/>
      <c r="H40" s="78"/>
      <c r="I40" s="107"/>
      <c r="J40" s="78"/>
      <c r="K40" s="107"/>
      <c r="L40" s="110"/>
      <c r="M40" s="110"/>
      <c r="N40" s="24"/>
      <c r="S40" s="18"/>
      <c r="T40" s="18"/>
      <c r="U40" s="18"/>
      <c r="V40" s="18"/>
    </row>
    <row r="41" spans="1:22" ht="15.75" customHeight="1" thickBot="1" x14ac:dyDescent="0.3">
      <c r="A41" s="13">
        <v>40</v>
      </c>
      <c r="B41" s="6"/>
      <c r="D41" s="78"/>
      <c r="E41" s="107"/>
      <c r="F41" s="78"/>
      <c r="G41" s="107"/>
      <c r="H41" s="78"/>
      <c r="I41" s="107"/>
      <c r="J41" s="78"/>
      <c r="K41" s="107"/>
      <c r="L41" s="110"/>
      <c r="M41" s="110"/>
      <c r="N41" s="24"/>
      <c r="S41" s="18"/>
      <c r="T41" s="18"/>
      <c r="U41" s="18"/>
      <c r="V41" s="18"/>
    </row>
    <row r="42" spans="1:22" ht="15.75" customHeight="1" thickTop="1" thickBot="1" x14ac:dyDescent="0.3">
      <c r="A42" s="10">
        <v>41</v>
      </c>
      <c r="B42" s="7"/>
      <c r="D42" s="79"/>
      <c r="E42" s="108"/>
      <c r="F42" s="79"/>
      <c r="G42" s="108"/>
      <c r="H42" s="79"/>
      <c r="I42" s="108"/>
      <c r="J42" s="79"/>
      <c r="K42" s="108"/>
      <c r="L42" s="111"/>
      <c r="M42" s="111"/>
      <c r="N42" s="24"/>
      <c r="S42" s="18"/>
      <c r="T42" s="18"/>
      <c r="U42" s="18"/>
      <c r="V42" s="18"/>
    </row>
    <row r="43" spans="1:22" ht="15.75" customHeight="1" x14ac:dyDescent="0.25">
      <c r="A43" s="11">
        <v>42</v>
      </c>
      <c r="B43" s="3"/>
      <c r="D43" s="16" t="s">
        <v>9</v>
      </c>
      <c r="E43" s="16" t="s">
        <v>21</v>
      </c>
      <c r="F43" s="17" t="s">
        <v>22</v>
      </c>
      <c r="G43" s="17" t="s">
        <v>23</v>
      </c>
      <c r="H43" s="17" t="s">
        <v>24</v>
      </c>
      <c r="I43" s="17" t="s">
        <v>25</v>
      </c>
      <c r="J43" s="17" t="s">
        <v>26</v>
      </c>
      <c r="K43" s="17" t="s">
        <v>27</v>
      </c>
      <c r="S43" s="18"/>
      <c r="T43" s="18"/>
      <c r="U43" s="18"/>
      <c r="V43" s="18"/>
    </row>
    <row r="44" spans="1:22" ht="15.75" customHeight="1" thickBot="1" x14ac:dyDescent="0.3">
      <c r="A44" s="11">
        <v>43</v>
      </c>
      <c r="B44" s="3"/>
      <c r="S44" s="18"/>
      <c r="T44" s="18"/>
      <c r="U44" s="18"/>
      <c r="V44" s="18"/>
    </row>
    <row r="45" spans="1:22" ht="15.75" customHeight="1" thickTop="1" thickBot="1" x14ac:dyDescent="0.3">
      <c r="A45" s="11">
        <v>44</v>
      </c>
      <c r="B45" s="3"/>
      <c r="D45" s="140" t="s">
        <v>6</v>
      </c>
      <c r="E45" s="141"/>
      <c r="S45" s="18"/>
      <c r="T45" s="18"/>
      <c r="U45" s="18"/>
      <c r="V45" s="18"/>
    </row>
    <row r="46" spans="1:22" ht="15.75" customHeight="1" thickTop="1" thickBot="1" x14ac:dyDescent="0.3">
      <c r="A46" s="13">
        <v>45</v>
      </c>
      <c r="B46" s="4"/>
      <c r="R46" s="18"/>
      <c r="S46" s="18"/>
      <c r="T46" s="18"/>
      <c r="U46" s="18"/>
      <c r="V46" s="18"/>
    </row>
    <row r="47" spans="1:22" ht="15.75" customHeight="1" thickTop="1" x14ac:dyDescent="0.25">
      <c r="D47" s="83" t="s">
        <v>14</v>
      </c>
      <c r="E47" s="84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64"/>
      <c r="R47" s="18"/>
    </row>
    <row r="48" spans="1:22" ht="15.75" customHeight="1" thickBot="1" x14ac:dyDescent="0.3">
      <c r="D48" s="85"/>
      <c r="E48" s="86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64"/>
      <c r="R48" s="18"/>
    </row>
    <row r="49" spans="4:18" ht="15" customHeight="1" x14ac:dyDescent="0.25">
      <c r="D49" s="87" t="s">
        <v>11</v>
      </c>
      <c r="E49" s="89" t="s">
        <v>12</v>
      </c>
      <c r="F49" s="89" t="s">
        <v>13</v>
      </c>
      <c r="G49" s="91"/>
      <c r="H49" s="93" t="s">
        <v>11</v>
      </c>
      <c r="I49" s="89" t="s">
        <v>12</v>
      </c>
      <c r="J49" s="89" t="s">
        <v>13</v>
      </c>
      <c r="K49" s="91"/>
      <c r="L49" s="95" t="s">
        <v>11</v>
      </c>
      <c r="M49" s="96"/>
      <c r="N49" s="89" t="s">
        <v>12</v>
      </c>
      <c r="O49" s="136" t="s">
        <v>13</v>
      </c>
      <c r="P49" s="137"/>
      <c r="R49" s="18"/>
    </row>
    <row r="50" spans="4:18" ht="15" customHeight="1" thickBot="1" x14ac:dyDescent="0.3">
      <c r="D50" s="88"/>
      <c r="E50" s="90"/>
      <c r="F50" s="90"/>
      <c r="G50" s="92"/>
      <c r="H50" s="94"/>
      <c r="I50" s="90"/>
      <c r="J50" s="90"/>
      <c r="K50" s="92"/>
      <c r="L50" s="97"/>
      <c r="M50" s="98"/>
      <c r="N50" s="90"/>
      <c r="O50" s="138"/>
      <c r="P50" s="139"/>
      <c r="R50" s="18"/>
    </row>
    <row r="51" spans="4:18" ht="15" customHeight="1" x14ac:dyDescent="0.25">
      <c r="D51" s="40" t="s">
        <v>18</v>
      </c>
      <c r="E51" s="56"/>
      <c r="F51" s="57" t="str">
        <f>IF(E51&gt;0, VLOOKUP(E51, $A$2:$B$55, 2), "")</f>
        <v/>
      </c>
      <c r="G51" s="58"/>
      <c r="H51" s="49"/>
      <c r="I51" s="56"/>
      <c r="J51" s="57" t="str">
        <f>IF(I51&gt;0, VLOOKUP(I51, $A$2:$B$55, 2), "")</f>
        <v/>
      </c>
      <c r="K51" s="58"/>
      <c r="L51" s="59"/>
      <c r="M51" s="60"/>
      <c r="N51" s="56"/>
      <c r="O51" s="61" t="str">
        <f>IF(N51&gt;0, VLOOKUP(N51, $A$2:$B$55, 2), "")</f>
        <v/>
      </c>
      <c r="P51" s="62"/>
      <c r="R51" s="18"/>
    </row>
    <row r="52" spans="4:18" ht="15" customHeight="1" x14ac:dyDescent="0.25">
      <c r="D52" s="32"/>
      <c r="E52" s="34"/>
      <c r="F52" s="36"/>
      <c r="G52" s="37"/>
      <c r="H52" s="49"/>
      <c r="I52" s="34"/>
      <c r="J52" s="36"/>
      <c r="K52" s="37"/>
      <c r="L52" s="50"/>
      <c r="M52" s="51"/>
      <c r="N52" s="34"/>
      <c r="O52" s="52"/>
      <c r="P52" s="53"/>
      <c r="R52" s="18"/>
    </row>
    <row r="53" spans="4:18" ht="15" customHeight="1" x14ac:dyDescent="0.25">
      <c r="D53" s="32" t="s">
        <v>19</v>
      </c>
      <c r="E53" s="34"/>
      <c r="F53" s="36" t="str">
        <f>IF(E53&gt;0, VLOOKUP(E53, $A$2:$B$55, 2), "")</f>
        <v/>
      </c>
      <c r="G53" s="37"/>
      <c r="H53" s="49"/>
      <c r="I53" s="34"/>
      <c r="J53" s="36" t="str">
        <f>IF(I53&gt;0, VLOOKUP(I53, $A$2:$B$55, 2), "")</f>
        <v/>
      </c>
      <c r="K53" s="37"/>
      <c r="L53" s="41"/>
      <c r="M53" s="42"/>
      <c r="N53" s="34"/>
      <c r="O53" s="45" t="str">
        <f>IF(N53&gt;0, VLOOKUP(N53, $A$2:$B$55, 2), "")</f>
        <v/>
      </c>
      <c r="P53" s="46"/>
      <c r="R53" s="18"/>
    </row>
    <row r="54" spans="4:18" ht="15" customHeight="1" x14ac:dyDescent="0.25">
      <c r="D54" s="32"/>
      <c r="E54" s="34"/>
      <c r="F54" s="36"/>
      <c r="G54" s="37"/>
      <c r="H54" s="49"/>
      <c r="I54" s="34"/>
      <c r="J54" s="36"/>
      <c r="K54" s="37"/>
      <c r="L54" s="50"/>
      <c r="M54" s="51"/>
      <c r="N54" s="34"/>
      <c r="O54" s="52"/>
      <c r="P54" s="53"/>
      <c r="R54" s="18"/>
    </row>
    <row r="55" spans="4:18" ht="15" customHeight="1" x14ac:dyDescent="0.25">
      <c r="D55" s="32" t="s">
        <v>20</v>
      </c>
      <c r="E55" s="34"/>
      <c r="F55" s="36" t="str">
        <f t="shared" ref="F55" si="6">IF(E55&gt;0, VLOOKUP(E55, $A$2:$B$55, 2), "")</f>
        <v/>
      </c>
      <c r="G55" s="37"/>
      <c r="H55" s="49"/>
      <c r="I55" s="34"/>
      <c r="J55" s="36" t="str">
        <f t="shared" ref="J55" si="7">IF(I55&gt;0, VLOOKUP(I55, $A$2:$B$55, 2), "")</f>
        <v/>
      </c>
      <c r="K55" s="37"/>
      <c r="L55" s="41"/>
      <c r="M55" s="42"/>
      <c r="N55" s="34"/>
      <c r="O55" s="45" t="str">
        <f t="shared" ref="O55" si="8">IF(N55&gt;0, VLOOKUP(N55, $A$2:$B$55, 2), "")</f>
        <v/>
      </c>
      <c r="P55" s="46"/>
      <c r="R55" s="18"/>
    </row>
    <row r="56" spans="4:18" ht="15" customHeight="1" x14ac:dyDescent="0.25">
      <c r="D56" s="32"/>
      <c r="E56" s="34"/>
      <c r="F56" s="36"/>
      <c r="G56" s="37"/>
      <c r="H56" s="42"/>
      <c r="I56" s="34"/>
      <c r="J56" s="36"/>
      <c r="K56" s="37"/>
      <c r="L56" s="50"/>
      <c r="M56" s="51"/>
      <c r="N56" s="34"/>
      <c r="O56" s="52"/>
      <c r="P56" s="53"/>
      <c r="R56" s="18"/>
    </row>
    <row r="57" spans="4:18" ht="15" customHeight="1" x14ac:dyDescent="0.25">
      <c r="D57" s="32"/>
      <c r="E57" s="34"/>
      <c r="F57" s="36" t="str">
        <f t="shared" ref="F57" si="9">IF(E57&gt;0, VLOOKUP(E57, $A$2:$B$55, 2), "")</f>
        <v/>
      </c>
      <c r="G57" s="37"/>
      <c r="H57" s="49"/>
      <c r="I57" s="34"/>
      <c r="J57" s="36" t="str">
        <f t="shared" ref="J57" si="10">IF(I57&gt;0, VLOOKUP(I57, $A$2:$B$55, 2), "")</f>
        <v/>
      </c>
      <c r="K57" s="37"/>
      <c r="L57" s="41"/>
      <c r="M57" s="42"/>
      <c r="N57" s="34"/>
      <c r="O57" s="45" t="str">
        <f t="shared" ref="O57" si="11">IF(N57&gt;0, VLOOKUP(N57, $A$2:$B$55, 2), "")</f>
        <v/>
      </c>
      <c r="P57" s="46"/>
      <c r="R57" s="18"/>
    </row>
    <row r="58" spans="4:18" ht="15" customHeight="1" x14ac:dyDescent="0.25">
      <c r="D58" s="32"/>
      <c r="E58" s="34"/>
      <c r="F58" s="36"/>
      <c r="G58" s="37"/>
      <c r="H58" s="49"/>
      <c r="I58" s="34"/>
      <c r="J58" s="36"/>
      <c r="K58" s="37"/>
      <c r="L58" s="50"/>
      <c r="M58" s="51"/>
      <c r="N58" s="34"/>
      <c r="O58" s="52"/>
      <c r="P58" s="53"/>
    </row>
    <row r="59" spans="4:18" ht="15" customHeight="1" x14ac:dyDescent="0.25">
      <c r="D59" s="32"/>
      <c r="E59" s="34"/>
      <c r="F59" s="36" t="str">
        <f t="shared" ref="F59" si="12">IF(E59&gt;0, VLOOKUP(E59, $A$2:$B$55, 2), "")</f>
        <v/>
      </c>
      <c r="G59" s="37"/>
      <c r="H59" s="33"/>
      <c r="I59" s="34"/>
      <c r="J59" s="36" t="str">
        <f t="shared" ref="J59" si="13">IF(I59&gt;0, VLOOKUP(I59, $A$2:$B$55, 2), "")</f>
        <v/>
      </c>
      <c r="K59" s="37"/>
      <c r="L59" s="41"/>
      <c r="M59" s="42"/>
      <c r="N59" s="34"/>
      <c r="O59" s="45" t="str">
        <f t="shared" ref="O59" si="14">IF(N59&gt;0, VLOOKUP(N59, $A$2:$B$55, 2), "")</f>
        <v/>
      </c>
      <c r="P59" s="46"/>
    </row>
    <row r="60" spans="4:18" ht="15" customHeight="1" x14ac:dyDescent="0.25">
      <c r="D60" s="33"/>
      <c r="E60" s="35"/>
      <c r="F60" s="38"/>
      <c r="G60" s="39"/>
      <c r="H60" s="40"/>
      <c r="I60" s="35"/>
      <c r="J60" s="38"/>
      <c r="K60" s="39"/>
      <c r="L60" s="43"/>
      <c r="M60" s="44"/>
      <c r="N60" s="35"/>
      <c r="O60" s="47"/>
      <c r="P60" s="48"/>
    </row>
    <row r="61" spans="4:18" ht="15" customHeight="1" x14ac:dyDescent="0.25">
      <c r="D61" s="32"/>
      <c r="E61" s="34"/>
      <c r="F61" s="36" t="str">
        <f t="shared" ref="F61" si="15">IF(E61&gt;0, VLOOKUP(E61, $A$2:$B$55, 2), "")</f>
        <v/>
      </c>
      <c r="G61" s="37"/>
      <c r="H61" s="49"/>
      <c r="I61" s="34"/>
      <c r="J61" s="36" t="str">
        <f t="shared" ref="J61" si="16">IF(I61&gt;0, VLOOKUP(I61, $A$2:$B$55, 2), "")</f>
        <v/>
      </c>
      <c r="K61" s="37"/>
      <c r="L61" s="41"/>
      <c r="M61" s="42"/>
      <c r="N61" s="34"/>
      <c r="O61" s="45" t="str">
        <f t="shared" ref="O61" si="17">IF(N61&gt;0, VLOOKUP(N61, $A$2:$B$55, 2), "")</f>
        <v/>
      </c>
      <c r="P61" s="46"/>
    </row>
    <row r="62" spans="4:18" ht="15" customHeight="1" thickBot="1" x14ac:dyDescent="0.3">
      <c r="D62" s="143"/>
      <c r="E62" s="144"/>
      <c r="F62" s="145"/>
      <c r="G62" s="146"/>
      <c r="H62" s="147"/>
      <c r="I62" s="144"/>
      <c r="J62" s="145"/>
      <c r="K62" s="146"/>
      <c r="L62" s="148"/>
      <c r="M62" s="149"/>
      <c r="N62" s="144"/>
      <c r="O62" s="150"/>
      <c r="P62" s="151"/>
    </row>
  </sheetData>
  <mergeCells count="201">
    <mergeCell ref="D61:D62"/>
    <mergeCell ref="E61:E62"/>
    <mergeCell ref="F61:G62"/>
    <mergeCell ref="H61:H62"/>
    <mergeCell ref="I61:I62"/>
    <mergeCell ref="J61:K62"/>
    <mergeCell ref="L61:M62"/>
    <mergeCell ref="N61:N62"/>
    <mergeCell ref="O61:P6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J38:J42"/>
    <mergeCell ref="K38:K42"/>
    <mergeCell ref="L38:L42"/>
    <mergeCell ref="M25:M30"/>
    <mergeCell ref="K14:K18"/>
    <mergeCell ref="L14:L18"/>
    <mergeCell ref="M13:M18"/>
    <mergeCell ref="K8:K12"/>
    <mergeCell ref="L8:L12"/>
    <mergeCell ref="M31:M36"/>
    <mergeCell ref="O21:O22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F14:F18"/>
    <mergeCell ref="G14:G18"/>
    <mergeCell ref="H14:H18"/>
    <mergeCell ref="I14:I18"/>
    <mergeCell ref="J14:J18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Q31:Q32"/>
    <mergeCell ref="O19:O20"/>
    <mergeCell ref="P19:P20"/>
    <mergeCell ref="Q19:Q20"/>
    <mergeCell ref="R19:R20"/>
    <mergeCell ref="O17:O18"/>
    <mergeCell ref="P17:P18"/>
    <mergeCell ref="R21:R22"/>
    <mergeCell ref="O23:O24"/>
    <mergeCell ref="R23:R24"/>
    <mergeCell ref="P23:P24"/>
    <mergeCell ref="Q23:Q24"/>
    <mergeCell ref="R29:R3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D8:D12"/>
    <mergeCell ref="E8:E12"/>
    <mergeCell ref="F4:G5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K32:K36"/>
    <mergeCell ref="L32:L36"/>
    <mergeCell ref="Q9:Q10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P13:P14"/>
    <mergeCell ref="P15:P1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  <mergeCell ref="H55:H56"/>
  </mergeCells>
  <phoneticPr fontId="1" type="noConversion"/>
  <conditionalFormatting sqref="A1:A46">
    <cfRule type="notContainsBlanks" dxfId="5" priority="1">
      <formula>LEN(TRIM(A1))&gt;0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39</xdr:row>
                    <xdr:rowOff>180975</xdr:rowOff>
                  </from>
                  <to>
                    <xdr:col>17</xdr:col>
                    <xdr:colOff>781050</xdr:colOff>
                    <xdr:row>44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2023-09-06T09:48:33Z</cp:lastPrinted>
  <dcterms:created xsi:type="dcterms:W3CDTF">2023-04-12T04:26:04Z</dcterms:created>
  <dcterms:modified xsi:type="dcterms:W3CDTF">2023-09-07T09:40:43Z</dcterms:modified>
</cp:coreProperties>
</file>